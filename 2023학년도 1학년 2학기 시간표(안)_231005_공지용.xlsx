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의학교육실-1학년 과정(2021-2023)\2023년\5. 최종시간표\2학기\"/>
    </mc:Choice>
  </mc:AlternateContent>
  <bookViews>
    <workbookView showHorizontalScroll="0" showVerticalScroll="0" showSheetTabs="0" xWindow="0" yWindow="0" windowWidth="28800" windowHeight="11850"/>
  </bookViews>
  <sheets>
    <sheet name="2023_2학기_시간표(틀) (2)" sheetId="3" r:id="rId1"/>
  </sheets>
  <definedNames>
    <definedName name="_xlnm.Print_Area" localSheetId="0">'2023_2학기_시간표(틀) (2)'!$A$1:$AR$35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3" l="1"/>
  <c r="C14" i="3" s="1"/>
  <c r="D14" i="3" s="1"/>
  <c r="E14" i="3" s="1"/>
  <c r="F14" i="3" s="1"/>
  <c r="G14" i="3" s="1"/>
  <c r="C3" i="3"/>
  <c r="D3" i="3" s="1"/>
  <c r="E3" i="3" s="1"/>
  <c r="F3" i="3" s="1"/>
  <c r="G3" i="3" s="1"/>
  <c r="B25" i="3" l="1"/>
  <c r="I3" i="3" l="1"/>
  <c r="C25" i="3"/>
  <c r="D25" i="3" s="1"/>
  <c r="E25" i="3" s="1"/>
  <c r="F25" i="3" s="1"/>
  <c r="G25" i="3" s="1"/>
  <c r="I14" i="3" l="1"/>
  <c r="J3" i="3"/>
  <c r="K3" i="3" s="1"/>
  <c r="L3" i="3" s="1"/>
  <c r="M3" i="3" s="1"/>
  <c r="N3" i="3" s="1"/>
  <c r="J14" i="3" l="1"/>
  <c r="K14" i="3" s="1"/>
  <c r="L14" i="3" s="1"/>
  <c r="M14" i="3" s="1"/>
  <c r="N14" i="3" s="1"/>
  <c r="I25" i="3"/>
  <c r="J25" i="3" l="1"/>
  <c r="K25" i="3" s="1"/>
  <c r="L25" i="3" s="1"/>
  <c r="M25" i="3" s="1"/>
  <c r="N25" i="3" s="1"/>
  <c r="P3" i="3"/>
  <c r="Q3" i="3" l="1"/>
  <c r="R3" i="3" s="1"/>
  <c r="S3" i="3" s="1"/>
  <c r="T3" i="3" s="1"/>
  <c r="U3" i="3" s="1"/>
  <c r="P14" i="3"/>
  <c r="Q14" i="3" l="1"/>
  <c r="R14" i="3" s="1"/>
  <c r="S14" i="3" s="1"/>
  <c r="T14" i="3" s="1"/>
  <c r="U14" i="3" s="1"/>
  <c r="P25" i="3"/>
  <c r="W3" i="3" l="1"/>
  <c r="Q25" i="3"/>
  <c r="R25" i="3" s="1"/>
  <c r="S25" i="3" s="1"/>
  <c r="T25" i="3" s="1"/>
  <c r="U25" i="3" s="1"/>
  <c r="X3" i="3" l="1"/>
  <c r="Y3" i="3" s="1"/>
  <c r="Z3" i="3" s="1"/>
  <c r="AA3" i="3" s="1"/>
  <c r="AB3" i="3" s="1"/>
  <c r="W14" i="3"/>
  <c r="X14" i="3" l="1"/>
  <c r="Y14" i="3" s="1"/>
  <c r="Z14" i="3" s="1"/>
  <c r="AA14" i="3" s="1"/>
  <c r="AB14" i="3" s="1"/>
  <c r="W25" i="3"/>
  <c r="X25" i="3" l="1"/>
  <c r="Y25" i="3" s="1"/>
  <c r="Z25" i="3" s="1"/>
  <c r="AA25" i="3" s="1"/>
  <c r="AB25" i="3" s="1"/>
  <c r="AD3" i="3"/>
  <c r="AE3" i="3" l="1"/>
  <c r="AF3" i="3" s="1"/>
  <c r="AG3" i="3" s="1"/>
  <c r="AH3" i="3" s="1"/>
  <c r="AI3" i="3" s="1"/>
  <c r="AD14" i="3"/>
  <c r="AE14" i="3" l="1"/>
  <c r="AF14" i="3" s="1"/>
  <c r="AG14" i="3" s="1"/>
  <c r="AH14" i="3" s="1"/>
  <c r="AI14" i="3" s="1"/>
  <c r="AD25" i="3"/>
  <c r="AK3" i="3" l="1"/>
  <c r="AE25" i="3"/>
  <c r="AF25" i="3" s="1"/>
  <c r="AG25" i="3" s="1"/>
  <c r="AH25" i="3" s="1"/>
  <c r="AI25" i="3" s="1"/>
  <c r="AK14" i="3" l="1"/>
  <c r="AL3" i="3"/>
  <c r="AM3" i="3" s="1"/>
  <c r="AN3" i="3" s="1"/>
  <c r="AO3" i="3" s="1"/>
  <c r="AP3" i="3" s="1"/>
  <c r="AL14" i="3" l="1"/>
  <c r="AM14" i="3" s="1"/>
  <c r="AN14" i="3" s="1"/>
  <c r="AO14" i="3" s="1"/>
  <c r="AP14" i="3" s="1"/>
  <c r="AK25" i="3"/>
  <c r="AL25" i="3" s="1"/>
  <c r="AM25" i="3" s="1"/>
  <c r="AN25" i="3" s="1"/>
  <c r="AO25" i="3" s="1"/>
  <c r="AP25" i="3" s="1"/>
</calcChain>
</file>

<file path=xl/sharedStrings.xml><?xml version="1.0" encoding="utf-8"?>
<sst xmlns="http://schemas.openxmlformats.org/spreadsheetml/2006/main" count="525" uniqueCount="334">
  <si>
    <t>월</t>
  </si>
  <si>
    <t>화</t>
  </si>
  <si>
    <t>수</t>
  </si>
  <si>
    <t>목</t>
  </si>
  <si>
    <t>금</t>
  </si>
  <si>
    <t>토</t>
  </si>
  <si>
    <t>1주</t>
  </si>
  <si>
    <t>1(08:30-09:20)</t>
  </si>
  <si>
    <t>2(09:30-10:20)</t>
  </si>
  <si>
    <t>3(10:30-11:20)</t>
  </si>
  <si>
    <t>4(11:30-12:20)</t>
  </si>
  <si>
    <t>5(12:30-13:20)</t>
  </si>
  <si>
    <t>6(13:30-14:20)</t>
  </si>
  <si>
    <t>7(14:30-15:20)</t>
  </si>
  <si>
    <t>(내분비학)내분비 호르몬 생리 총론-권상모</t>
  </si>
  <si>
    <t>(내분비학)다발성 내분비선 이상-이동원</t>
  </si>
  <si>
    <t>(내분비학)뇌하수체 호르몬 생리-권상모</t>
  </si>
  <si>
    <t>(내분비학)뇌하수체기능 저하증-이동원</t>
  </si>
  <si>
    <t>(내분비학)과정소개 및 뇌하수체 전엽호르몬 작용과 조절 및 평가-강양호</t>
  </si>
  <si>
    <t>(내분비학)항이뇨 호르몬, 요붕증-이동원</t>
  </si>
  <si>
    <t>(내분비학)뇌하수체전엽기능항진-강양호</t>
  </si>
  <si>
    <t>(내분비학)뇌하수체종양의 외과적 치료-조원호</t>
  </si>
  <si>
    <t>(내분비학)신경내분비 영상진단-김학진</t>
  </si>
  <si>
    <t>(내분비학)뇌하수체 증례-김미진</t>
  </si>
  <si>
    <t>(순환기학)순환기 과정 안내 - 김정수</t>
  </si>
  <si>
    <t>(순환기학)순환기 해부학-심장해부-김형태</t>
  </si>
  <si>
    <t>(순환기학)순환기 해부학-혈관-이충원</t>
  </si>
  <si>
    <t>(순환기학)순환기 발생학-오세옥</t>
  </si>
  <si>
    <t>(순환기학)심혈관계 질환의 신체진찰-차광수</t>
  </si>
  <si>
    <t>(순환기학)심장영상의학-추기석</t>
  </si>
  <si>
    <t>(순환기학)심도자 검사와 관상동맥 조영술-이한철</t>
  </si>
  <si>
    <t>(순환기학)심장초음파-이상현</t>
  </si>
  <si>
    <t>(순환기학) CS-이상현</t>
  </si>
  <si>
    <t>(순환기학)판막질환-박용현</t>
  </si>
  <si>
    <t>(순환기학)판막질환-외과적 치료-제형곤</t>
  </si>
  <si>
    <t>(순환기학)관동맥 질환-외과적 치료-주민호</t>
  </si>
  <si>
    <t>(순환기학)부정맥-빈맥-황기원</t>
  </si>
  <si>
    <t>(순환기학)심근병증-최정현</t>
  </si>
  <si>
    <t>(순환기학)말초동맥 질환-정성운</t>
  </si>
  <si>
    <t>(순환기학)대동맥 질환-이한철</t>
  </si>
  <si>
    <t>(순환기학)정맥 및 림프질환-정성운</t>
  </si>
  <si>
    <t>(순환기학)폐고혈압과 심부정맥혈전질환-최정현</t>
  </si>
  <si>
    <t>(순환기학)부정맥치료약물-김관회</t>
  </si>
  <si>
    <t>(순환기학)심근염, 심내막염-이상현</t>
  </si>
  <si>
    <t>(순환기학)심낭질환, 심장종양-이상현</t>
  </si>
  <si>
    <t>(순환기학)심폐소생술-염석란</t>
  </si>
  <si>
    <t>(순환기학)CP-청색증-이형두</t>
  </si>
  <si>
    <t>(순환기학)소아질환-비청색형 선천성심장병-이형두</t>
  </si>
  <si>
    <t>(의학연구II)</t>
  </si>
  <si>
    <t>화</t>
    <phoneticPr fontId="5" type="noConversion"/>
  </si>
  <si>
    <t>수</t>
    <phoneticPr fontId="5" type="noConversion"/>
  </si>
  <si>
    <t>금</t>
    <phoneticPr fontId="5" type="noConversion"/>
  </si>
  <si>
    <t>10주</t>
    <phoneticPr fontId="5" type="noConversion"/>
  </si>
  <si>
    <t>2023학년도 1학년 2학기</t>
    <phoneticPr fontId="5" type="noConversion"/>
  </si>
  <si>
    <t>월</t>
    <phoneticPr fontId="5" type="noConversion"/>
  </si>
  <si>
    <t>목</t>
    <phoneticPr fontId="5" type="noConversion"/>
  </si>
  <si>
    <t>금</t>
    <phoneticPr fontId="5" type="noConversion"/>
  </si>
  <si>
    <t>토</t>
    <phoneticPr fontId="5" type="noConversion"/>
  </si>
  <si>
    <t>월</t>
    <phoneticPr fontId="5" type="noConversion"/>
  </si>
  <si>
    <t>수</t>
    <phoneticPr fontId="5" type="noConversion"/>
  </si>
  <si>
    <t>화</t>
    <phoneticPr fontId="5" type="noConversion"/>
  </si>
  <si>
    <t>4주</t>
    <phoneticPr fontId="5" type="noConversion"/>
  </si>
  <si>
    <t>7주</t>
    <phoneticPr fontId="5" type="noConversion"/>
  </si>
  <si>
    <t>13주</t>
    <phoneticPr fontId="5" type="noConversion"/>
  </si>
  <si>
    <t>16주</t>
    <phoneticPr fontId="5" type="noConversion"/>
  </si>
  <si>
    <t>교학시간</t>
    <phoneticPr fontId="1" type="noConversion"/>
  </si>
  <si>
    <t>(순환기학)순환계의 구성과 기능적 특성-우재석</t>
    <phoneticPr fontId="1" type="noConversion"/>
  </si>
  <si>
    <t>(순환기학)심장활동의 신경성조절-우재석</t>
    <phoneticPr fontId="1" type="noConversion"/>
  </si>
  <si>
    <t>(순환기학)부정맥-서맥-안진희</t>
    <phoneticPr fontId="1" type="noConversion"/>
  </si>
  <si>
    <t>(순환기학)소아심장학 총론 - 김태홍</t>
    <phoneticPr fontId="5" type="noConversion"/>
  </si>
  <si>
    <t>(순환기학)CP-흉통-최정천</t>
    <phoneticPr fontId="5" type="noConversion"/>
  </si>
  <si>
    <t>자율학습</t>
    <phoneticPr fontId="1" type="noConversion"/>
  </si>
  <si>
    <t>임시공휴일</t>
    <phoneticPr fontId="5" type="noConversion"/>
  </si>
  <si>
    <t>개천절</t>
    <phoneticPr fontId="5" type="noConversion"/>
  </si>
  <si>
    <t>(호흡기학)기관지확장증-김윤성</t>
    <phoneticPr fontId="1" type="noConversion"/>
  </si>
  <si>
    <t>(호흡기학)CS2-비출혈, 콧물,코막힘-조규섭</t>
    <phoneticPr fontId="1" type="noConversion"/>
  </si>
  <si>
    <t>(호흡기학)폐종양-이민기</t>
    <phoneticPr fontId="1" type="noConversion"/>
  </si>
  <si>
    <t>(내분비학)갑상샘 호르몬 생리-권상모</t>
    <phoneticPr fontId="1" type="noConversion"/>
  </si>
  <si>
    <t>(내분비학)갑생샘 기능 조절약물-김치대</t>
    <phoneticPr fontId="1" type="noConversion"/>
  </si>
  <si>
    <t>(내분비학) 여성갱년기-나용진</t>
    <phoneticPr fontId="1" type="noConversion"/>
  </si>
  <si>
    <t>(내분비학)부신호르몬 생리-권상모</t>
    <phoneticPr fontId="1" type="noConversion"/>
  </si>
  <si>
    <t>(내분비학)부신 및 기타 내분비선의 영상진단-이남경</t>
    <phoneticPr fontId="1" type="noConversion"/>
  </si>
  <si>
    <t>(신장비뇨기학)임신과 신장-이하린</t>
    <phoneticPr fontId="5" type="noConversion"/>
  </si>
  <si>
    <t>(신장비뇨기학)산염기장애-성은영</t>
    <phoneticPr fontId="5" type="noConversion"/>
  </si>
  <si>
    <t>(신장비뇨기학)소아신증후군-송지연</t>
    <phoneticPr fontId="1" type="noConversion"/>
  </si>
  <si>
    <t>(신장비뇨기학)신장비뇨기 영상학 진단  -이준우</t>
    <phoneticPr fontId="5" type="noConversion"/>
  </si>
  <si>
    <t>(신장비뇨기학)당뇨병과 신장-송상헌</t>
    <phoneticPr fontId="5" type="noConversion"/>
  </si>
  <si>
    <t>(전공선택)</t>
    <phoneticPr fontId="5" type="noConversion"/>
  </si>
  <si>
    <t>(순환기학)심근의 흥분-수축 연결-우재석</t>
    <phoneticPr fontId="1" type="noConversion"/>
  </si>
  <si>
    <t>(순환기학)심장활동의 액성조절-우재석</t>
    <phoneticPr fontId="1" type="noConversion"/>
  </si>
  <si>
    <t>소아질환-선천성심장병의 외과적 치료-최광호</t>
    <phoneticPr fontId="1" type="noConversion"/>
  </si>
  <si>
    <t>(순환기학)CP-호흡곤란-이수용</t>
    <phoneticPr fontId="5" type="noConversion"/>
  </si>
  <si>
    <t>(호흡기학)병리-COPD-신동훈</t>
    <phoneticPr fontId="1" type="noConversion"/>
  </si>
  <si>
    <t>(호흡기학)병리-종양-신동훈</t>
    <phoneticPr fontId="1" type="noConversion"/>
  </si>
  <si>
    <t>(내분비학)갑상선 호르몬과 평가-김보현</t>
    <phoneticPr fontId="1" type="noConversion"/>
  </si>
  <si>
    <t>(내분비학)갑상선질환 외과치료-이진춘</t>
    <phoneticPr fontId="1" type="noConversion"/>
  </si>
  <si>
    <t>(내분비학-실습)내분비 조직 수업-윤식</t>
    <phoneticPr fontId="1" type="noConversion"/>
  </si>
  <si>
    <t>(내분비학)부신호르몬종류, 작용,평가-강양호</t>
    <phoneticPr fontId="1" type="noConversion"/>
  </si>
  <si>
    <t>(신장비뇨기학)노화와 신장-김서린</t>
    <phoneticPr fontId="5" type="noConversion"/>
  </si>
  <si>
    <t>(신장비뇨기학)유전성사구체신염-송지연</t>
    <phoneticPr fontId="1" type="noConversion"/>
  </si>
  <si>
    <t>(순환기학)심근 흥분과 전도의 전기 기전-우재석</t>
    <phoneticPr fontId="1" type="noConversion"/>
  </si>
  <si>
    <t>(순환기학)동맥혈압의 형성 기전과 조절-우재석</t>
    <phoneticPr fontId="1" type="noConversion"/>
  </si>
  <si>
    <t>(순환기학)기초 심전도 1-최진희</t>
    <phoneticPr fontId="1" type="noConversion"/>
  </si>
  <si>
    <t>(순환기학)핵의학검사-김근영</t>
    <phoneticPr fontId="1" type="noConversion"/>
  </si>
  <si>
    <t>(순환기학)소아질환-소아심전도 및 부정맥-변정희</t>
    <phoneticPr fontId="5" type="noConversion"/>
  </si>
  <si>
    <t>(순환기학)CP-실신-최진희</t>
    <phoneticPr fontId="5" type="noConversion"/>
  </si>
  <si>
    <t>(호흡기학)COPD-김기욱</t>
    <phoneticPr fontId="1" type="noConversion"/>
  </si>
  <si>
    <t>(호흡기학)흉부외과 폐종양-이호석</t>
    <phoneticPr fontId="1" type="noConversion"/>
  </si>
  <si>
    <t>(내분비학)갑상선기능항진증-김보현</t>
    <phoneticPr fontId="1" type="noConversion"/>
  </si>
  <si>
    <t>(내분비학)성선기능조절 약물-배순식</t>
    <phoneticPr fontId="1" type="noConversion"/>
  </si>
  <si>
    <t>(내분비학)내분비 조직 수업-윤식</t>
    <phoneticPr fontId="1" type="noConversion"/>
  </si>
  <si>
    <t>(내분비학)부신질환-강양호</t>
    <phoneticPr fontId="1" type="noConversion"/>
  </si>
  <si>
    <t>(내분비학)부갑상샘 호르몬 생리-권상모</t>
    <phoneticPr fontId="1" type="noConversion"/>
  </si>
  <si>
    <t>(신장비뇨기학)분대사장애-이동원</t>
    <phoneticPr fontId="5" type="noConversion"/>
  </si>
  <si>
    <t>(신장비뇨기학)사구체신염의 개요 및 증상-이수봉</t>
    <phoneticPr fontId="5" type="noConversion"/>
  </si>
  <si>
    <t>(신장비뇨기학)신장병리-이현정</t>
    <phoneticPr fontId="1" type="noConversion"/>
  </si>
  <si>
    <t>(신장비뇨기학)신장비뇨기 핵의학 진단-김근영</t>
    <phoneticPr fontId="5" type="noConversion"/>
  </si>
  <si>
    <t>(신장비뇨기학)감염과 신장-송상헌</t>
    <phoneticPr fontId="1" type="noConversion"/>
  </si>
  <si>
    <t>(순환기학)심장주기-우재석</t>
    <phoneticPr fontId="1" type="noConversion"/>
  </si>
  <si>
    <t>(순환기학)혈관 긴장도의 조절-우재석</t>
    <phoneticPr fontId="1" type="noConversion"/>
  </si>
  <si>
    <t>(순환기학) 순환기학 PBL-이혜원</t>
    <phoneticPr fontId="1" type="noConversion"/>
  </si>
  <si>
    <t>(순환기학)근거중심의학-이정규</t>
    <phoneticPr fontId="1" type="noConversion"/>
  </si>
  <si>
    <t>(순환기-CP)두근거림-최진희</t>
    <phoneticPr fontId="5" type="noConversion"/>
  </si>
  <si>
    <t>(호흡기학)영상-종양-정연주</t>
    <phoneticPr fontId="1" type="noConversion"/>
  </si>
  <si>
    <t>(호흡기학)직업성질환-강동묵</t>
    <phoneticPr fontId="1" type="noConversion"/>
  </si>
  <si>
    <t>(내분비학)갑상갑상선기능저하증-김보현</t>
    <phoneticPr fontId="1" type="noConversion"/>
  </si>
  <si>
    <t>(내분비학)성호르몬 작용, 평가-박현준</t>
    <phoneticPr fontId="1" type="noConversion"/>
  </si>
  <si>
    <t>(내분비학)내분비 조직 실습-윤식</t>
    <phoneticPr fontId="1" type="noConversion"/>
  </si>
  <si>
    <t>(내분비학)뼈무기질 조절약물-김관회</t>
    <phoneticPr fontId="1" type="noConversion"/>
  </si>
  <si>
    <t>(신장비뇨기학)급성신손상 병태생리-이동원</t>
    <phoneticPr fontId="1" type="noConversion"/>
  </si>
  <si>
    <t>(순환기학-실습)순환기 생리 실습-우재석</t>
    <phoneticPr fontId="1" type="noConversion"/>
  </si>
  <si>
    <t>(순환기학)미세순환-우재석</t>
    <phoneticPr fontId="1" type="noConversion"/>
  </si>
  <si>
    <t>(순환기학)소아질환-비청색형 선천성심장병-이형두</t>
    <phoneticPr fontId="5" type="noConversion"/>
  </si>
  <si>
    <t>(자기계발II) 전공소개1-김관회,손경모,문은수,이형두</t>
    <phoneticPr fontId="5" type="noConversion"/>
  </si>
  <si>
    <t>(순환기학) 2차시험-김정수</t>
    <phoneticPr fontId="1" type="noConversion"/>
  </si>
  <si>
    <t>(호흡기학)CS1-단순가슴X선 프리젠테이션-이지원A</t>
    <phoneticPr fontId="1" type="noConversion"/>
  </si>
  <si>
    <t>(자기계발II)닥터링1: 마음진찰-문은수</t>
    <phoneticPr fontId="5" type="noConversion"/>
  </si>
  <si>
    <t>내분비학)갑상선 종양-김보현</t>
    <phoneticPr fontId="1" type="noConversion"/>
  </si>
  <si>
    <t>(내분비학)남성 갱년기-김현우</t>
    <phoneticPr fontId="1" type="noConversion"/>
  </si>
  <si>
    <t>(자기계발II)행림강좌2</t>
    <phoneticPr fontId="5" type="noConversion"/>
  </si>
  <si>
    <t>(내분비학)부신 기능저하증-김상수</t>
    <phoneticPr fontId="1" type="noConversion"/>
  </si>
  <si>
    <t>(내분비학)성분화 이상-이동원</t>
    <phoneticPr fontId="1" type="noConversion"/>
  </si>
  <si>
    <t>(신장비뇨기학)전해질장애-이동원</t>
    <phoneticPr fontId="5" type="noConversion"/>
  </si>
  <si>
    <t>(신장비뇨기학)사구체신염의 진단 및 치료-이수봉</t>
    <phoneticPr fontId="5" type="noConversion"/>
  </si>
  <si>
    <t>(신장비뇨기학)급성신손상 진단 및 치료-이동원</t>
    <phoneticPr fontId="1" type="noConversion"/>
  </si>
  <si>
    <t>(신장비뇨기학)고혈압과 신장-성은영</t>
    <phoneticPr fontId="1" type="noConversion"/>
  </si>
  <si>
    <t>(신장비뇨기학)Quiz 1     -이동원</t>
    <phoneticPr fontId="5" type="noConversion"/>
  </si>
  <si>
    <t>(순환기학)국소 순환의 조절-우재석</t>
    <phoneticPr fontId="1" type="noConversion"/>
  </si>
  <si>
    <t>(순환기학)소아질환-청색형 선천성심장병-고훈</t>
    <phoneticPr fontId="5" type="noConversion"/>
  </si>
  <si>
    <t>(내분비학)갑상선 증례-김보현</t>
    <phoneticPr fontId="1" type="noConversion"/>
  </si>
  <si>
    <t>(내분비학)갑상선 영상의학-김학진</t>
    <phoneticPr fontId="1" type="noConversion"/>
  </si>
  <si>
    <t>(내분비학)부신 증례-김상수</t>
    <phoneticPr fontId="1" type="noConversion"/>
  </si>
  <si>
    <r>
      <t xml:space="preserve">(내분비학) </t>
    </r>
    <r>
      <rPr>
        <sz val="10"/>
        <color rgb="FFFF0000"/>
        <rFont val="맑은 고딕"/>
        <family val="3"/>
        <charset val="129"/>
        <scheme val="minor"/>
      </rPr>
      <t>형성평가I</t>
    </r>
    <r>
      <rPr>
        <sz val="10"/>
        <rFont val="맑은 고딕"/>
        <family val="3"/>
        <charset val="129"/>
        <scheme val="minor"/>
      </rPr>
      <t>-강양호</t>
    </r>
    <phoneticPr fontId="1" type="noConversion"/>
  </si>
  <si>
    <t>(신장비뇨기학)소아단백뇨-송지연</t>
    <phoneticPr fontId="1" type="noConversion"/>
  </si>
  <si>
    <t>8(15:30-16:20)</t>
    <phoneticPr fontId="5" type="noConversion"/>
  </si>
  <si>
    <t>(호흡기학)사르코이드증 전신질환 물리적 손상-김미현</t>
    <phoneticPr fontId="1" type="noConversion"/>
  </si>
  <si>
    <t>9(16:30-17:20)</t>
    <phoneticPr fontId="5" type="noConversion"/>
  </si>
  <si>
    <t>(호흡기학)CS3-폐진찰-김미현</t>
    <phoneticPr fontId="1" type="noConversion"/>
  </si>
  <si>
    <t>9(16:30-17:20)</t>
    <phoneticPr fontId="5" type="noConversion"/>
  </si>
  <si>
    <t>2주</t>
    <phoneticPr fontId="5" type="noConversion"/>
  </si>
  <si>
    <t>5주</t>
    <phoneticPr fontId="5" type="noConversion"/>
  </si>
  <si>
    <t>8주</t>
    <phoneticPr fontId="5" type="noConversion"/>
  </si>
  <si>
    <t>11주</t>
    <phoneticPr fontId="5" type="noConversion"/>
  </si>
  <si>
    <t>14주</t>
    <phoneticPr fontId="5" type="noConversion"/>
  </si>
  <si>
    <t>17주</t>
    <phoneticPr fontId="5" type="noConversion"/>
  </si>
  <si>
    <t>(순환기학) 심장혈관기능 및 혈압 조절 약물-배순식</t>
    <phoneticPr fontId="1" type="noConversion"/>
  </si>
  <si>
    <t>(순환기학)심장병리: 판막질환-나주영</t>
    <phoneticPr fontId="1" type="noConversion"/>
  </si>
  <si>
    <t>(순환기학)심장병리: 죽상경화증 및 허혈성 심질환-나주영</t>
    <phoneticPr fontId="1" type="noConversion"/>
  </si>
  <si>
    <t>(순환기학) 급성 관동맥증후군 -전국진</t>
    <phoneticPr fontId="1" type="noConversion"/>
  </si>
  <si>
    <t>(호흡기학)호흡기학소개-전두수, 총론-김영대</t>
    <phoneticPr fontId="1" type="noConversion"/>
  </si>
  <si>
    <t>(호흡기학)생리학 총론-정진섭</t>
    <phoneticPr fontId="1" type="noConversion"/>
  </si>
  <si>
    <t>(호흡기학)생리 폐순환-정진섭</t>
    <phoneticPr fontId="1" type="noConversion"/>
  </si>
  <si>
    <t>(호흡기학)호흡생리 조절-정진섭</t>
    <phoneticPr fontId="1" type="noConversion"/>
  </si>
  <si>
    <t>(호흡기학)증상 및 진찰-이민기</t>
    <phoneticPr fontId="1" type="noConversion"/>
  </si>
  <si>
    <t>한글날</t>
    <phoneticPr fontId="5" type="noConversion"/>
  </si>
  <si>
    <t>(호흡기학)호흡기감염증과 미생물학-이종윤</t>
    <phoneticPr fontId="1" type="noConversion"/>
  </si>
  <si>
    <t>(호흡기학)소아과총론-정성수</t>
    <phoneticPr fontId="1" type="noConversion"/>
  </si>
  <si>
    <t>(호흡기학)폐색전증-엄중섭</t>
    <phoneticPr fontId="1" type="noConversion"/>
  </si>
  <si>
    <t>(호흡기학)흉막질환-조정수</t>
    <phoneticPr fontId="1" type="noConversion"/>
  </si>
  <si>
    <t>(내분비학)칼슘대사,고칼슘 및 저칼슘혈증-전윤경</t>
    <phoneticPr fontId="1" type="noConversion"/>
  </si>
  <si>
    <t>(내분비학)대사통합II-강치덕</t>
    <phoneticPr fontId="1" type="noConversion"/>
  </si>
  <si>
    <t>(내분비학)혈당조절 약물-김치대</t>
    <phoneticPr fontId="1" type="noConversion"/>
  </si>
  <si>
    <t>(내분비학)당뇨병의치료-김미진</t>
    <phoneticPr fontId="1" type="noConversion"/>
  </si>
  <si>
    <t>(신장비뇨기학)만성콩팥병 병태생리-이수봉</t>
    <phoneticPr fontId="5" type="noConversion"/>
  </si>
  <si>
    <t>(신장비뇨기학)신질환의 약물요법-김치대</t>
    <phoneticPr fontId="5" type="noConversion"/>
  </si>
  <si>
    <t>(신장비뇨기학)투석 치료-성은영</t>
    <phoneticPr fontId="5" type="noConversion"/>
  </si>
  <si>
    <t>(신장비뇨기학)전립샘암-박성우</t>
    <phoneticPr fontId="1" type="noConversion"/>
  </si>
  <si>
    <t>(신장비뇨기학)신경성방광 및 폐쇄요로병증-이정주</t>
    <phoneticPr fontId="1" type="noConversion"/>
  </si>
  <si>
    <t>(기본의학종합과정)기초의학종합평가</t>
    <phoneticPr fontId="5" type="noConversion"/>
  </si>
  <si>
    <t>순환기학)정상심근 및 허혈성 심근의 대사-강치덕</t>
    <phoneticPr fontId="1" type="noConversion"/>
  </si>
  <si>
    <t>(호흡기학)생리학 역학-정진섭</t>
    <phoneticPr fontId="1" type="noConversion"/>
  </si>
  <si>
    <t>(호흡기학)생리 폐확산-정진섭</t>
    <phoneticPr fontId="1" type="noConversion"/>
  </si>
  <si>
    <t>(호흡기학)생리 운동 및 이상환경에서의 신체반응-정진섭</t>
    <phoneticPr fontId="1" type="noConversion"/>
  </si>
  <si>
    <t>(호흡기학)핵의학-김근영</t>
    <phoneticPr fontId="1" type="noConversion"/>
  </si>
  <si>
    <t>(호흡기학)소아과각론-정성수</t>
    <phoneticPr fontId="1" type="noConversion"/>
  </si>
  <si>
    <t xml:space="preserve"> (호흡기학)미래의학: 호흡기영역의 임상진단법 및 미래진단법-엄중섭</t>
    <phoneticPr fontId="1" type="noConversion"/>
  </si>
  <si>
    <t>(내분비학)골대사,골대사질환-전윤경</t>
    <phoneticPr fontId="1" type="noConversion"/>
  </si>
  <si>
    <t>(내분비학)당뇨병 증례-김상수</t>
    <phoneticPr fontId="1" type="noConversion"/>
  </si>
  <si>
    <t>CS(내분비학)
목부위진찰(OSCE),이상지질혈증,다뇨증,피로(CPX)
-이동원</t>
    <phoneticPr fontId="1" type="noConversion"/>
  </si>
  <si>
    <t>(신장비뇨기학)투석혈관 통로-정성운</t>
    <phoneticPr fontId="5" type="noConversion"/>
  </si>
  <si>
    <t>(신장비뇨기학)비뇨의학응급-박성우</t>
    <phoneticPr fontId="5" type="noConversion"/>
  </si>
  <si>
    <t>(신장비뇨기학)증례토의-송상헌</t>
    <phoneticPr fontId="5" type="noConversion"/>
  </si>
  <si>
    <t>(순환기학) 항협심증약물-김치대</t>
    <phoneticPr fontId="1" type="noConversion"/>
  </si>
  <si>
    <t>(순환기학)안정형 협심증-오준혁</t>
    <phoneticPr fontId="1" type="noConversion"/>
  </si>
  <si>
    <t>(호흡기학)조직학-윤식</t>
    <phoneticPr fontId="1" type="noConversion"/>
  </si>
  <si>
    <t>(호흡기학)생리 기체운반-정진섭</t>
    <phoneticPr fontId="1" type="noConversion"/>
  </si>
  <si>
    <t>(호흡기학)산염기평형-정진섭</t>
    <phoneticPr fontId="1" type="noConversion"/>
  </si>
  <si>
    <t>(호흡기학)결핵-전두수</t>
    <phoneticPr fontId="1" type="noConversion"/>
  </si>
  <si>
    <t>(호흡기학)인문학: 미술로 표현된 호흡기학-김도형</t>
    <phoneticPr fontId="1" type="noConversion"/>
  </si>
  <si>
    <t>(호흡기학)소아과각론-유혜원</t>
    <phoneticPr fontId="1" type="noConversion"/>
  </si>
  <si>
    <t>(호흡기학)CS4-기침, 객혈, 호흡곤란-김기욱</t>
    <phoneticPr fontId="1" type="noConversion"/>
  </si>
  <si>
    <t>(호흡기학)영상 기도 및 혈관-이지원B</t>
    <phoneticPr fontId="1" type="noConversion"/>
  </si>
  <si>
    <t>(내분비학)비만 과 대사징후군-전윤경</t>
    <phoneticPr fontId="1" type="noConversion"/>
  </si>
  <si>
    <r>
      <t>(내분비학)인문학: 당뇨병역학,진단-김상수</t>
    </r>
    <r>
      <rPr>
        <sz val="10"/>
        <color rgb="FFFF0000"/>
        <rFont val="맑은 고딕"/>
        <family val="3"/>
        <charset val="129"/>
        <scheme val="minor"/>
      </rPr>
      <t>(토론수업)</t>
    </r>
    <phoneticPr fontId="1" type="noConversion"/>
  </si>
  <si>
    <t>(내분비학)소아내분비질환-유석동</t>
    <phoneticPr fontId="1" type="noConversion"/>
  </si>
  <si>
    <t>(내분비학)당뇨병성이상지질혈증-김미진</t>
    <phoneticPr fontId="1" type="noConversion"/>
  </si>
  <si>
    <t>(신장비뇨기학)만성콩팥병진단/치료-이수봉</t>
    <phoneticPr fontId="5" type="noConversion"/>
  </si>
  <si>
    <t>(신장비뇨기학)신장이식-김일영</t>
    <phoneticPr fontId="5" type="noConversion"/>
  </si>
  <si>
    <t>(신장비뇨기학)세관사이질질환-성은영</t>
    <phoneticPr fontId="5" type="noConversion"/>
  </si>
  <si>
    <t>(신장비뇨기학)CS3-배뇨곤란, 요실금-신동길</t>
    <phoneticPr fontId="5" type="noConversion"/>
  </si>
  <si>
    <t>(순환기학) 항혈전약물-김관회</t>
    <phoneticPr fontId="1" type="noConversion"/>
  </si>
  <si>
    <t>(호흡기학)생리 폐환기-정진섭</t>
    <phoneticPr fontId="1" type="noConversion"/>
  </si>
  <si>
    <t>(호흡기학)형성평가-전두수</t>
    <phoneticPr fontId="1" type="noConversion"/>
  </si>
  <si>
    <t xml:space="preserve"> (호흡기학)감염성 폐질환 1-목정하</t>
    <phoneticPr fontId="1" type="noConversion"/>
  </si>
  <si>
    <t>(호흡기학)영상-소아선천성-김용우</t>
    <phoneticPr fontId="1" type="noConversion"/>
  </si>
  <si>
    <t>(호흡기학)외상 종격동 횡격막 직업성폐질환-이지원B</t>
    <phoneticPr fontId="1" type="noConversion"/>
  </si>
  <si>
    <t>(내분비학)당뇨병 분류, 발병기전, 증상, -김상수</t>
    <phoneticPr fontId="1" type="noConversion"/>
  </si>
  <si>
    <t>(내분비학)형성평가II, 저혈당-김미진</t>
    <phoneticPr fontId="1" type="noConversion"/>
  </si>
  <si>
    <t>(신장비뇨기학)신장이식 수술-정혁재</t>
    <phoneticPr fontId="1" type="noConversion"/>
  </si>
  <si>
    <t>(신장비뇨기학)낭콩팥병-성은영</t>
    <phoneticPr fontId="1" type="noConversion"/>
  </si>
  <si>
    <t>(신장비뇨기학)미래의학-김효진</t>
    <phoneticPr fontId="5" type="noConversion"/>
  </si>
  <si>
    <t>(호흡기학)호흡기학 PBL-목정하</t>
    <phoneticPr fontId="1" type="noConversion"/>
  </si>
  <si>
    <t>(순환기학)고혈압-진단과 치료-이수용</t>
    <phoneticPr fontId="1" type="noConversion"/>
  </si>
  <si>
    <t>(순환기학)변이형 협심증-오준혁</t>
    <phoneticPr fontId="1" type="noConversion"/>
  </si>
  <si>
    <t>(순환기학) 1차시험-차광수</t>
    <phoneticPr fontId="1" type="noConversion"/>
  </si>
  <si>
    <t>(호흡기학)조직학실습-윤식</t>
    <phoneticPr fontId="1" type="noConversion"/>
  </si>
  <si>
    <t>(호흡기학)폐기능검사-김미현</t>
    <phoneticPr fontId="1" type="noConversion"/>
  </si>
  <si>
    <t xml:space="preserve"> (호흡기학)감염성 폐질환1-목정하</t>
    <phoneticPr fontId="1" type="noConversion"/>
  </si>
  <si>
    <t>(호흡기학)결핵-전두수</t>
    <phoneticPr fontId="1" type="noConversion"/>
  </si>
  <si>
    <t>(자기계발II)닥터링2-온몸진찰/소아진찰-이상엽,송지연</t>
    <phoneticPr fontId="5" type="noConversion"/>
  </si>
  <si>
    <t>(호흡기학)간질성폐렴 총론-김윤성</t>
    <phoneticPr fontId="1" type="noConversion"/>
  </si>
  <si>
    <t>(호흡기학)횡격막,흉벽질환,종격동질환-손봉수</t>
    <phoneticPr fontId="1" type="noConversion"/>
  </si>
  <si>
    <t>(내분비학) 부갑상선증례-전윤경</t>
    <phoneticPr fontId="1" type="noConversion"/>
  </si>
  <si>
    <t>(내분비학)미래의학: 당뇨병의 급성,만성합병증-김상수</t>
    <phoneticPr fontId="1" type="noConversion"/>
  </si>
  <si>
    <t>(자기계발II)닥터링3: 의료인이 가져야 할 장애에 대한 바른인식/외국인진료-신용일/조영혜</t>
    <phoneticPr fontId="5" type="noConversion"/>
  </si>
  <si>
    <t>(내분비학)내분비학 PBL-전윤경</t>
    <phoneticPr fontId="1" type="noConversion"/>
  </si>
  <si>
    <t>(신장비뇨기학)CS1-적색뇨, 다뇨-김일영</t>
    <phoneticPr fontId="1" type="noConversion"/>
  </si>
  <si>
    <t>(신장비뇨기학)CS2-부종, 핍뇨-이하린</t>
    <phoneticPr fontId="5" type="noConversion"/>
  </si>
  <si>
    <t>(자기계발II) 전공소개2-남수봉,이현민,김수진,성순기</t>
    <phoneticPr fontId="5" type="noConversion"/>
  </si>
  <si>
    <t>(신장비뇨기학)신장암-하홍구</t>
    <phoneticPr fontId="1" type="noConversion"/>
  </si>
  <si>
    <t>(신장비뇨기학)신장비뇨기학 PBL-김효진</t>
    <phoneticPr fontId="1" type="noConversion"/>
  </si>
  <si>
    <t>(신장비뇨기학)Quiz 2     -이동원</t>
    <phoneticPr fontId="5" type="noConversion"/>
  </si>
  <si>
    <t>(순환기학)고혈압-이차성 고혈압-이수용</t>
    <phoneticPr fontId="1" type="noConversion"/>
  </si>
  <si>
    <t>(순환기학)구조적 심질환 Intervention 치료 - 이한철</t>
    <phoneticPr fontId="1" type="noConversion"/>
  </si>
  <si>
    <t>(호흡기학)발생학-오세옥</t>
    <phoneticPr fontId="1" type="noConversion"/>
  </si>
  <si>
    <t>(호흡기학)폐기능검사 실습-김미현</t>
    <phoneticPr fontId="1" type="noConversion"/>
  </si>
  <si>
    <t>(호흡기학)감염성폐질환 2-조우현</t>
    <phoneticPr fontId="1" type="noConversion"/>
  </si>
  <si>
    <t>(호흡기학)산소치료-여혜주</t>
    <phoneticPr fontId="1" type="noConversion"/>
  </si>
  <si>
    <t>(호흡기학)흉부외상-김선희</t>
    <phoneticPr fontId="1" type="noConversion"/>
  </si>
  <si>
    <t>(내분비학)췌장호르몬 생리-강치덕</t>
    <phoneticPr fontId="1" type="noConversion"/>
  </si>
  <si>
    <t>(신장비뇨기학)소아비뇨기질환-이상돈</t>
    <phoneticPr fontId="1" type="noConversion"/>
  </si>
  <si>
    <t>(순환기학)고혈압 증례-이수용</t>
    <phoneticPr fontId="1" type="noConversion"/>
  </si>
  <si>
    <t>(호흡기학)동맥혈가스분석-여혜주</t>
    <phoneticPr fontId="1" type="noConversion"/>
  </si>
  <si>
    <t>(호흡기학)근거중심의학-이정규</t>
    <phoneticPr fontId="1" type="noConversion"/>
  </si>
  <si>
    <t>(호흡기학)간질성폐렴 각론-병리-신동훈</t>
    <phoneticPr fontId="1" type="noConversion"/>
  </si>
  <si>
    <t>(호흡기학)병리-흉막,종격동-신동훈</t>
    <phoneticPr fontId="1" type="noConversion"/>
  </si>
  <si>
    <t>9(16:30-17:20)</t>
    <phoneticPr fontId="5" type="noConversion"/>
  </si>
  <si>
    <t>(호흡기학)간질성폐렴 각론-영상 -이지원A</t>
    <phoneticPr fontId="1" type="noConversion"/>
  </si>
  <si>
    <t>(내분비학)근거중심의학-이정규</t>
    <phoneticPr fontId="1" type="noConversion"/>
  </si>
  <si>
    <t>(신장비뇨기학)근거중심의학-이정규</t>
    <phoneticPr fontId="5" type="noConversion"/>
  </si>
  <si>
    <t>3주</t>
    <phoneticPr fontId="5" type="noConversion"/>
  </si>
  <si>
    <t>6주</t>
    <phoneticPr fontId="5" type="noConversion"/>
  </si>
  <si>
    <t>9주</t>
    <phoneticPr fontId="5" type="noConversion"/>
  </si>
  <si>
    <t>12주</t>
    <phoneticPr fontId="5" type="noConversion"/>
  </si>
  <si>
    <t>15주</t>
    <phoneticPr fontId="5" type="noConversion"/>
  </si>
  <si>
    <t>18주</t>
    <phoneticPr fontId="5" type="noConversion"/>
  </si>
  <si>
    <t>(순환기학)심부전-병태생리-김준홍</t>
    <phoneticPr fontId="1" type="noConversion"/>
  </si>
  <si>
    <t>(순환기학)심장병리: 심근증 및 종양-나주영</t>
    <phoneticPr fontId="1" type="noConversion"/>
  </si>
  <si>
    <t>(순환기학)혈관질환의 병리: 손상에 대한 혈관의 반응 및 고혈압성 혈관질환 / 대동맥 박리-김지연</t>
    <phoneticPr fontId="1" type="noConversion"/>
  </si>
  <si>
    <t>(순환기학)대동맥 질환-외과적 치료-송승환</t>
    <phoneticPr fontId="5" type="noConversion"/>
  </si>
  <si>
    <t>(호흡기학)비강질환-조규섭</t>
    <phoneticPr fontId="1" type="noConversion"/>
  </si>
  <si>
    <t>(호흡기학)영상 총론-정연주</t>
    <phoneticPr fontId="1" type="noConversion"/>
  </si>
  <si>
    <t>(호흡기학)1차시험-전두수</t>
    <phoneticPr fontId="1" type="noConversion"/>
  </si>
  <si>
    <t>추석연휴</t>
    <phoneticPr fontId="5" type="noConversion"/>
  </si>
  <si>
    <t>추석</t>
    <phoneticPr fontId="5" type="noConversion"/>
  </si>
  <si>
    <t>(호흡기학)호흡부전-이광하</t>
    <phoneticPr fontId="1" type="noConversion"/>
  </si>
  <si>
    <t xml:space="preserve"> (호흡기학)TBL - 이광하</t>
    <phoneticPr fontId="1" type="noConversion"/>
  </si>
  <si>
    <t>(내분비학)내분비 병리학-김지연</t>
    <phoneticPr fontId="1" type="noConversion"/>
  </si>
  <si>
    <t>(신장비뇨기학)과정소개/총론-이동원</t>
    <phoneticPr fontId="1" type="noConversion"/>
  </si>
  <si>
    <t>(신장비뇨기학)신장비뇨기 조직학-윤식</t>
    <phoneticPr fontId="1" type="noConversion"/>
  </si>
  <si>
    <t>(신장비뇨기학)전해질 조절과 산염기 평형-우재석</t>
    <phoneticPr fontId="1" type="noConversion"/>
  </si>
  <si>
    <t>(신장비뇨기학)신장질환 연구기법-김일영</t>
    <phoneticPr fontId="1" type="noConversion"/>
  </si>
  <si>
    <t>(신장비뇨기학)요로결석-이승수</t>
    <phoneticPr fontId="1" type="noConversion"/>
  </si>
  <si>
    <t>(순환기학)혈관질환의 병리: 혈관염 및 혈관의 종양-김지연</t>
    <phoneticPr fontId="1" type="noConversion"/>
  </si>
  <si>
    <t>(호흡기학)영상 감염성질환-정연주</t>
    <phoneticPr fontId="1" type="noConversion"/>
  </si>
  <si>
    <t>(호흡기학)기계환기-이광하</t>
    <phoneticPr fontId="1" type="noConversion"/>
  </si>
  <si>
    <t>(신장비뇨기학) 신장비뇨기 발생학-오세옥</t>
    <phoneticPr fontId="1" type="noConversion"/>
  </si>
  <si>
    <t>(신장비뇨기학)조직학실습-윤식</t>
    <phoneticPr fontId="1" type="noConversion"/>
  </si>
  <si>
    <t>(신장비뇨기학)방광암-남종길</t>
    <phoneticPr fontId="1" type="noConversion"/>
  </si>
  <si>
    <t>(신장비뇨기학)비뇨기종양의 병리-이현정</t>
    <phoneticPr fontId="5" type="noConversion"/>
  </si>
  <si>
    <t>(순환기학)심부전-진단과 치료-이혜원</t>
    <phoneticPr fontId="1" type="noConversion"/>
  </si>
  <si>
    <t>(호흡기학)부비동염-조규섭</t>
    <phoneticPr fontId="1" type="noConversion"/>
  </si>
  <si>
    <t>(호흡기학)ARDS-이광하</t>
    <phoneticPr fontId="1" type="noConversion"/>
  </si>
  <si>
    <t xml:space="preserve">(호흡기학)병리실습-신동훈 </t>
    <phoneticPr fontId="1" type="noConversion"/>
  </si>
  <si>
    <t>(신장비뇨기학)요 형성의 기전-우재석</t>
    <phoneticPr fontId="1" type="noConversion"/>
  </si>
  <si>
    <t>(신장비뇨기학)신기능평가 실습-우재석</t>
    <phoneticPr fontId="1" type="noConversion"/>
  </si>
  <si>
    <t>(신장비뇨기학)인문학: 투석윤리-김서린</t>
    <phoneticPr fontId="5" type="noConversion"/>
  </si>
  <si>
    <t>(신장비뇨기학)비뇨기종양병리실습-이현정</t>
    <phoneticPr fontId="5" type="noConversion"/>
  </si>
  <si>
    <t>(순환기학)심혈관 위험인자 - 이수용</t>
    <phoneticPr fontId="1" type="noConversion"/>
  </si>
  <si>
    <t>(호흡기학)후두 및 성대 질환-성의숙</t>
    <phoneticPr fontId="1" type="noConversion"/>
  </si>
  <si>
    <t>(호흡기학)병리-비종양성질환, 선천성질환, 감염-신동훈</t>
    <phoneticPr fontId="1" type="noConversion"/>
  </si>
  <si>
    <t>(호흡기학)패혈증 및 패혈증 쇼크-조우현</t>
    <phoneticPr fontId="1" type="noConversion"/>
  </si>
  <si>
    <t>(순환기학)심부전 치료-LVAD &amp; 심장이식-이혜원</t>
    <phoneticPr fontId="1" type="noConversion"/>
  </si>
  <si>
    <t>(순환기학)고지혈증 - 이수용</t>
    <phoneticPr fontId="1" type="noConversion"/>
  </si>
  <si>
    <t>(순환기학)형성평가-김정수</t>
    <phoneticPr fontId="1" type="noConversion"/>
  </si>
  <si>
    <t>(호흡기학)급성상기도염 및 이물질 흡인-성의숙</t>
    <phoneticPr fontId="1" type="noConversion"/>
  </si>
  <si>
    <t>(자기계발II)행림강좌1</t>
    <phoneticPr fontId="5" type="noConversion"/>
  </si>
  <si>
    <t>(호흡기학)호흡재활 1-김수연</t>
    <phoneticPr fontId="1" type="noConversion"/>
  </si>
  <si>
    <t>(호흡기학)2차시험-이광하</t>
    <phoneticPr fontId="1" type="noConversion"/>
  </si>
  <si>
    <t>(내분비학)과정시험-강양호</t>
    <phoneticPr fontId="1" type="noConversion"/>
  </si>
  <si>
    <t>(자기계발II) 닥터링4-팔얼기신경학적 검사/좋은의사되기-신용범</t>
    <phoneticPr fontId="5" type="noConversion"/>
  </si>
  <si>
    <t>(신장비뇨기학)나트륨과 수분 배설의 조절-우재석</t>
    <phoneticPr fontId="1" type="noConversion"/>
  </si>
  <si>
    <t>(신장비뇨기학)신손상의 기전-이현정</t>
    <phoneticPr fontId="5" type="noConversion"/>
  </si>
  <si>
    <t>(신장비뇨기학)CS4-도뇨관삽입-김태남</t>
    <phoneticPr fontId="5" type="noConversion"/>
  </si>
  <si>
    <t>(자기계발II)행림강좌3</t>
    <phoneticPr fontId="5" type="noConversion"/>
  </si>
  <si>
    <t>(신장비뇨기학)과정시험-이동원</t>
    <phoneticPr fontId="1" type="noConversion"/>
  </si>
  <si>
    <t>(순환기학)심부전 증례-이혜원</t>
    <phoneticPr fontId="1" type="noConversion"/>
  </si>
  <si>
    <t xml:space="preserve">(순환기학)인문학: 순환기에서 다룰 수 있는 윤리-김정수 </t>
    <phoneticPr fontId="1" type="noConversion"/>
  </si>
  <si>
    <t>(호흡기학)두경부암-이병주</t>
    <phoneticPr fontId="1" type="noConversion"/>
  </si>
  <si>
    <t>(호흡기학)임상호흡재활 2-신용범</t>
    <phoneticPr fontId="1" type="noConversion"/>
  </si>
  <si>
    <t>(신장비뇨기학)신기능검사 및 소변검사-이선민</t>
    <phoneticPr fontId="5" type="noConversion"/>
  </si>
  <si>
    <t>(순환기학) CPB &amp; ECMO - 송승환</t>
    <phoneticPr fontId="1" type="noConversion"/>
  </si>
  <si>
    <t xml:space="preserve">(순환기학) 미래의학: 순환기 의사의 다양한 직업-김정수 </t>
    <phoneticPr fontId="1" type="noConversion"/>
  </si>
  <si>
    <t>&lt;2022년 기준&gt;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</si>
</sst>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mm&quot;월&quot;\ dd&quot;일&quot;"/>
    <numFmt numFmtId="177" formatCode="0_);[Red]\(0\)"/>
    <numFmt numFmtId="178" formatCode="m&quot;/&quot;d;@"/>
  </numFmts>
  <fonts count="1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sz val="12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0"/>
      <name val="맑은 고딕"/>
      <family val="3"/>
      <charset val="129"/>
      <scheme val="minor"/>
    </font>
    <font>
      <sz val="10"/>
      <color rgb="FFFF33CC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rgb="FFFF3399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7DBB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285"/>
        <bgColor indexed="64"/>
      </patternFill>
    </fill>
    <fill>
      <patternFill patternType="solid">
        <fgColor rgb="FFE5E5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E6B8B7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center"/>
    </xf>
    <xf numFmtId="0" fontId="7" fillId="0" borderId="0"/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</cellStyleXfs>
  <cellXfs count="176">
    <xf numFmtId="0" fontId="0" fillId="0" borderId="0" xfId="0">
      <alignment vertical="center"/>
    </xf>
    <xf numFmtId="0" fontId="6" fillId="0" borderId="0" xfId="0" applyFont="1" applyFill="1" applyAlignment="1">
      <alignment horizontal="center" vertical="center" wrapText="1"/>
    </xf>
    <xf numFmtId="177" fontId="6" fillId="2" borderId="3" xfId="0" applyNumberFormat="1" applyFont="1" applyFill="1" applyBorder="1" applyAlignment="1">
      <alignment horizontal="center" vertical="center" wrapText="1"/>
    </xf>
    <xf numFmtId="178" fontId="6" fillId="2" borderId="3" xfId="0" applyNumberFormat="1" applyFont="1" applyFill="1" applyBorder="1" applyAlignment="1">
      <alignment horizontal="center" vertical="center" wrapText="1"/>
    </xf>
    <xf numFmtId="178" fontId="6" fillId="2" borderId="2" xfId="0" applyNumberFormat="1" applyFont="1" applyFill="1" applyBorder="1" applyAlignment="1">
      <alignment horizontal="center" vertical="center" wrapText="1"/>
    </xf>
    <xf numFmtId="177" fontId="6" fillId="2" borderId="2" xfId="0" applyNumberFormat="1" applyFont="1" applyFill="1" applyBorder="1" applyAlignment="1">
      <alignment horizontal="center" vertical="center" wrapText="1"/>
    </xf>
    <xf numFmtId="176" fontId="6" fillId="0" borderId="2" xfId="1" applyNumberFormat="1" applyFont="1" applyFill="1" applyBorder="1" applyAlignment="1">
      <alignment vertical="center" wrapText="1"/>
    </xf>
    <xf numFmtId="177" fontId="6" fillId="2" borderId="2" xfId="1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 wrapText="1"/>
    </xf>
    <xf numFmtId="0" fontId="6" fillId="0" borderId="2" xfId="1" applyFont="1" applyFill="1" applyBorder="1" applyAlignment="1">
      <alignment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vertical="center" wrapText="1"/>
    </xf>
    <xf numFmtId="0" fontId="11" fillId="0" borderId="2" xfId="0" applyFont="1" applyFill="1" applyBorder="1" applyAlignment="1">
      <alignment vertical="center" wrapText="1"/>
    </xf>
    <xf numFmtId="178" fontId="6" fillId="2" borderId="5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177" fontId="10" fillId="0" borderId="2" xfId="1" applyNumberFormat="1" applyFont="1" applyFill="1" applyBorder="1" applyAlignment="1">
      <alignment horizontal="center" vertical="center" wrapText="1"/>
    </xf>
    <xf numFmtId="177" fontId="2" fillId="0" borderId="4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177" fontId="2" fillId="0" borderId="5" xfId="1" applyNumberFormat="1" applyFont="1" applyFill="1" applyBorder="1" applyAlignment="1">
      <alignment horizontal="center" vertical="center" wrapText="1"/>
    </xf>
    <xf numFmtId="0" fontId="12" fillId="0" borderId="2" xfId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horizontal="center" vertical="center" wrapText="1"/>
    </xf>
    <xf numFmtId="0" fontId="6" fillId="8" borderId="2" xfId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0" borderId="2" xfId="3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10" borderId="2" xfId="1" applyFont="1" applyFill="1" applyBorder="1" applyAlignment="1">
      <alignment horizontal="center" vertical="center" wrapText="1"/>
    </xf>
    <xf numFmtId="0" fontId="6" fillId="10" borderId="2" xfId="1" applyFont="1" applyFill="1" applyBorder="1" applyAlignment="1">
      <alignment vertical="center" wrapText="1"/>
    </xf>
    <xf numFmtId="0" fontId="10" fillId="0" borderId="5" xfId="0" applyFont="1" applyFill="1" applyBorder="1" applyAlignment="1">
      <alignment horizontal="center" vertical="center" shrinkToFit="1"/>
    </xf>
    <xf numFmtId="0" fontId="10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14" fillId="6" borderId="2" xfId="1" applyFont="1" applyFill="1" applyBorder="1" applyAlignment="1">
      <alignment horizontal="center" vertical="center" wrapText="1"/>
    </xf>
    <xf numFmtId="0" fontId="10" fillId="6" borderId="2" xfId="1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6" fillId="6" borderId="2" xfId="2" applyFont="1" applyFill="1" applyBorder="1" applyAlignment="1">
      <alignment horizontal="center" vertical="center" wrapText="1"/>
    </xf>
    <xf numFmtId="0" fontId="6" fillId="6" borderId="5" xfId="2" applyFont="1" applyFill="1" applyBorder="1" applyAlignment="1">
      <alignment vertical="center" wrapText="1"/>
    </xf>
    <xf numFmtId="0" fontId="6" fillId="6" borderId="3" xfId="2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5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177" fontId="10" fillId="0" borderId="2" xfId="1" applyNumberFormat="1" applyFont="1" applyBorder="1" applyAlignment="1">
      <alignment horizontal="center" vertical="center" wrapText="1"/>
    </xf>
    <xf numFmtId="0" fontId="6" fillId="8" borderId="2" xfId="2" applyFont="1" applyFill="1" applyBorder="1" applyAlignment="1">
      <alignment horizontal="center" vertical="center" wrapText="1"/>
    </xf>
    <xf numFmtId="0" fontId="6" fillId="8" borderId="2" xfId="4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6" fillId="9" borderId="2" xfId="1" applyFont="1" applyFill="1" applyBorder="1" applyAlignment="1">
      <alignment horizontal="center" vertical="center" wrapText="1"/>
    </xf>
    <xf numFmtId="0" fontId="17" fillId="9" borderId="2" xfId="1" applyFont="1" applyFill="1" applyBorder="1" applyAlignment="1">
      <alignment horizontal="center" vertical="center" wrapText="1"/>
    </xf>
    <xf numFmtId="0" fontId="2" fillId="9" borderId="2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 applyProtection="1">
      <alignment horizontal="center" vertical="center" wrapText="1"/>
      <protection locked="0"/>
    </xf>
    <xf numFmtId="0" fontId="6" fillId="9" borderId="2" xfId="0" applyFont="1" applyFill="1" applyBorder="1" applyAlignment="1" applyProtection="1">
      <alignment horizontal="center" vertical="center" wrapText="1"/>
      <protection locked="0"/>
    </xf>
    <xf numFmtId="0" fontId="15" fillId="5" borderId="2" xfId="0" applyFont="1" applyFill="1" applyBorder="1" applyAlignment="1">
      <alignment horizontal="center" vertical="center" wrapText="1"/>
    </xf>
    <xf numFmtId="0" fontId="10" fillId="8" borderId="2" xfId="1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6" fillId="9" borderId="5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3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13" borderId="5" xfId="1" applyFont="1" applyFill="1" applyBorder="1" applyAlignment="1">
      <alignment horizontal="center" vertical="center" wrapText="1"/>
    </xf>
    <xf numFmtId="0" fontId="6" fillId="13" borderId="2" xfId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shrinkToFit="1"/>
    </xf>
    <xf numFmtId="0" fontId="2" fillId="13" borderId="2" xfId="1" applyFont="1" applyFill="1" applyBorder="1" applyAlignment="1">
      <alignment horizontal="center" vertical="center" wrapText="1"/>
    </xf>
    <xf numFmtId="0" fontId="10" fillId="13" borderId="2" xfId="1" applyFont="1" applyFill="1" applyBorder="1" applyAlignment="1">
      <alignment horizontal="center" vertical="center" wrapText="1"/>
    </xf>
    <xf numFmtId="0" fontId="6" fillId="13" borderId="2" xfId="2" applyFont="1" applyFill="1" applyBorder="1" applyAlignment="1">
      <alignment horizontal="center" vertical="center" wrapText="1"/>
    </xf>
    <xf numFmtId="0" fontId="2" fillId="13" borderId="3" xfId="1" applyFont="1" applyFill="1" applyBorder="1" applyAlignment="1">
      <alignment horizontal="center" vertical="center" wrapText="1"/>
    </xf>
    <xf numFmtId="0" fontId="2" fillId="13" borderId="5" xfId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horizontal="center" vertical="center" wrapText="1"/>
    </xf>
    <xf numFmtId="0" fontId="10" fillId="5" borderId="4" xfId="1" applyFont="1" applyFill="1" applyBorder="1" applyAlignment="1">
      <alignment horizontal="center" vertical="center" wrapText="1"/>
    </xf>
    <xf numFmtId="0" fontId="10" fillId="5" borderId="5" xfId="1" applyFont="1" applyFill="1" applyBorder="1" applyAlignment="1">
      <alignment horizontal="center" vertical="center" wrapText="1"/>
    </xf>
    <xf numFmtId="177" fontId="6" fillId="0" borderId="3" xfId="1" applyNumberFormat="1" applyFont="1" applyFill="1" applyBorder="1" applyAlignment="1">
      <alignment horizontal="center" vertical="center" wrapText="1"/>
    </xf>
    <xf numFmtId="177" fontId="6" fillId="0" borderId="4" xfId="1" applyNumberFormat="1" applyFont="1" applyFill="1" applyBorder="1" applyAlignment="1">
      <alignment horizontal="center" vertical="center" wrapText="1"/>
    </xf>
    <xf numFmtId="177" fontId="6" fillId="0" borderId="5" xfId="1" applyNumberFormat="1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11" fillId="9" borderId="3" xfId="1" applyFont="1" applyFill="1" applyBorder="1" applyAlignment="1">
      <alignment horizontal="center" vertical="center" wrapText="1"/>
    </xf>
    <xf numFmtId="0" fontId="6" fillId="9" borderId="3" xfId="1" applyFont="1" applyFill="1" applyBorder="1" applyAlignment="1">
      <alignment horizontal="center" vertical="center" wrapText="1"/>
    </xf>
    <xf numFmtId="0" fontId="6" fillId="9" borderId="5" xfId="1" applyFont="1" applyFill="1" applyBorder="1" applyAlignment="1">
      <alignment horizontal="center" vertical="center" wrapText="1"/>
    </xf>
    <xf numFmtId="0" fontId="6" fillId="9" borderId="3" xfId="5" applyFont="1" applyFill="1" applyBorder="1" applyAlignment="1">
      <alignment horizontal="center" vertical="center" wrapText="1"/>
    </xf>
    <xf numFmtId="0" fontId="6" fillId="9" borderId="5" xfId="5" applyFont="1" applyFill="1" applyBorder="1" applyAlignment="1">
      <alignment horizontal="center" vertical="center" wrapText="1"/>
    </xf>
    <xf numFmtId="0" fontId="17" fillId="9" borderId="3" xfId="1" applyFont="1" applyFill="1" applyBorder="1" applyAlignment="1">
      <alignment horizontal="center" vertical="center" wrapText="1"/>
    </xf>
    <xf numFmtId="0" fontId="17" fillId="9" borderId="5" xfId="1" applyFont="1" applyFill="1" applyBorder="1" applyAlignment="1">
      <alignment horizontal="center" vertical="center" wrapText="1"/>
    </xf>
    <xf numFmtId="0" fontId="6" fillId="0" borderId="3" xfId="1" applyNumberFormat="1" applyFont="1" applyFill="1" applyBorder="1" applyAlignment="1">
      <alignment horizontal="center" vertical="center" wrapText="1"/>
    </xf>
    <xf numFmtId="0" fontId="6" fillId="0" borderId="4" xfId="1" applyNumberFormat="1" applyFont="1" applyFill="1" applyBorder="1" applyAlignment="1">
      <alignment horizontal="center" vertical="center" wrapText="1"/>
    </xf>
    <xf numFmtId="0" fontId="6" fillId="0" borderId="5" xfId="1" applyNumberFormat="1" applyFont="1" applyFill="1" applyBorder="1" applyAlignment="1">
      <alignment horizontal="center" vertical="center" wrapText="1"/>
    </xf>
    <xf numFmtId="0" fontId="17" fillId="9" borderId="7" xfId="1" applyFont="1" applyFill="1" applyBorder="1" applyAlignment="1">
      <alignment horizontal="center" vertical="center" wrapText="1"/>
    </xf>
    <xf numFmtId="0" fontId="17" fillId="9" borderId="6" xfId="1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vertical="center" wrapText="1"/>
    </xf>
    <xf numFmtId="0" fontId="15" fillId="9" borderId="4" xfId="0" applyFont="1" applyFill="1" applyBorder="1" applyAlignment="1">
      <alignment horizontal="center" vertical="center" wrapText="1"/>
    </xf>
    <xf numFmtId="0" fontId="15" fillId="9" borderId="5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6" fillId="12" borderId="5" xfId="0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 wrapText="1"/>
    </xf>
    <xf numFmtId="0" fontId="2" fillId="5" borderId="5" xfId="1" applyFont="1" applyFill="1" applyBorder="1" applyAlignment="1">
      <alignment horizontal="center" vertical="center" wrapText="1"/>
    </xf>
    <xf numFmtId="0" fontId="2" fillId="7" borderId="3" xfId="4" applyFont="1" applyFill="1" applyBorder="1" applyAlignment="1">
      <alignment horizontal="center" vertical="center" wrapText="1"/>
    </xf>
    <xf numFmtId="0" fontId="2" fillId="7" borderId="4" xfId="4" applyFont="1" applyFill="1" applyBorder="1" applyAlignment="1">
      <alignment horizontal="center" vertical="center" wrapText="1"/>
    </xf>
    <xf numFmtId="0" fontId="2" fillId="7" borderId="5" xfId="4" applyFont="1" applyFill="1" applyBorder="1" applyAlignment="1">
      <alignment horizontal="center" vertical="center" wrapText="1"/>
    </xf>
    <xf numFmtId="0" fontId="2" fillId="5" borderId="4" xfId="1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6" borderId="3" xfId="1" applyFont="1" applyFill="1" applyBorder="1" applyAlignment="1">
      <alignment horizontal="center" vertical="center" wrapText="1"/>
    </xf>
    <xf numFmtId="0" fontId="2" fillId="6" borderId="5" xfId="1" applyFont="1" applyFill="1" applyBorder="1" applyAlignment="1">
      <alignment horizontal="center" vertical="center" wrapText="1"/>
    </xf>
    <xf numFmtId="177" fontId="10" fillId="0" borderId="3" xfId="1" applyNumberFormat="1" applyFont="1" applyFill="1" applyBorder="1" applyAlignment="1">
      <alignment horizontal="center" vertical="center" wrapText="1"/>
    </xf>
    <xf numFmtId="177" fontId="10" fillId="0" borderId="4" xfId="1" applyNumberFormat="1" applyFont="1" applyFill="1" applyBorder="1" applyAlignment="1">
      <alignment horizontal="center" vertical="center" wrapText="1"/>
    </xf>
    <xf numFmtId="177" fontId="10" fillId="0" borderId="5" xfId="1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2" fillId="11" borderId="3" xfId="1" applyFont="1" applyFill="1" applyBorder="1" applyAlignment="1">
      <alignment horizontal="center" vertical="center" wrapText="1"/>
    </xf>
    <xf numFmtId="0" fontId="12" fillId="11" borderId="5" xfId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11" fillId="5" borderId="3" xfId="4" applyFont="1" applyFill="1" applyBorder="1" applyAlignment="1">
      <alignment horizontal="center" vertical="center" wrapText="1"/>
    </xf>
    <xf numFmtId="0" fontId="11" fillId="5" borderId="4" xfId="4" applyFont="1" applyFill="1" applyBorder="1" applyAlignment="1">
      <alignment horizontal="center" vertical="center" wrapText="1"/>
    </xf>
    <xf numFmtId="0" fontId="11" fillId="5" borderId="5" xfId="4" applyFont="1" applyFill="1" applyBorder="1" applyAlignment="1">
      <alignment horizontal="center" vertical="center" wrapText="1"/>
    </xf>
    <xf numFmtId="0" fontId="6" fillId="8" borderId="3" xfId="1" applyFont="1" applyFill="1" applyBorder="1" applyAlignment="1">
      <alignment horizontal="center" vertical="center" wrapText="1"/>
    </xf>
    <xf numFmtId="0" fontId="6" fillId="8" borderId="5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5" xfId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8" borderId="4" xfId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5" fillId="8" borderId="3" xfId="1" applyFont="1" applyFill="1" applyBorder="1" applyAlignment="1">
      <alignment horizontal="center" vertical="center" wrapText="1"/>
    </xf>
    <xf numFmtId="0" fontId="15" fillId="8" borderId="4" xfId="1" applyFont="1" applyFill="1" applyBorder="1" applyAlignment="1">
      <alignment horizontal="center" vertical="center" wrapText="1"/>
    </xf>
    <xf numFmtId="0" fontId="15" fillId="8" borderId="5" xfId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11" fillId="6" borderId="3" xfId="4" applyFont="1" applyFill="1" applyBorder="1" applyAlignment="1">
      <alignment horizontal="center" vertical="center" wrapText="1"/>
    </xf>
    <xf numFmtId="0" fontId="11" fillId="6" borderId="4" xfId="4" applyFont="1" applyFill="1" applyBorder="1" applyAlignment="1">
      <alignment horizontal="center" vertical="center" wrapText="1"/>
    </xf>
    <xf numFmtId="0" fontId="11" fillId="6" borderId="5" xfId="4" applyFont="1" applyFill="1" applyBorder="1" applyAlignment="1">
      <alignment horizontal="center" vertical="center" wrapText="1"/>
    </xf>
    <xf numFmtId="0" fontId="11" fillId="8" borderId="3" xfId="1" applyFont="1" applyFill="1" applyBorder="1" applyAlignment="1">
      <alignment horizontal="center" vertical="center" wrapText="1"/>
    </xf>
    <xf numFmtId="0" fontId="11" fillId="8" borderId="4" xfId="1" applyFont="1" applyFill="1" applyBorder="1" applyAlignment="1">
      <alignment horizontal="center" vertical="center" wrapText="1"/>
    </xf>
    <xf numFmtId="0" fontId="11" fillId="8" borderId="5" xfId="1" applyFont="1" applyFill="1" applyBorder="1" applyAlignment="1">
      <alignment horizontal="center" vertical="center" wrapText="1"/>
    </xf>
    <xf numFmtId="0" fontId="10" fillId="6" borderId="3" xfId="2" applyFont="1" applyFill="1" applyBorder="1" applyAlignment="1">
      <alignment horizontal="center" vertical="center" wrapText="1"/>
    </xf>
    <xf numFmtId="0" fontId="10" fillId="6" borderId="5" xfId="2" applyFont="1" applyFill="1" applyBorder="1" applyAlignment="1">
      <alignment horizontal="center" vertical="center" wrapText="1"/>
    </xf>
    <xf numFmtId="0" fontId="6" fillId="4" borderId="3" xfId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/>
    </xf>
    <xf numFmtId="0" fontId="6" fillId="4" borderId="5" xfId="1" applyFont="1" applyFill="1" applyBorder="1" applyAlignment="1">
      <alignment horizontal="center" vertical="center" wrapText="1"/>
    </xf>
    <xf numFmtId="0" fontId="10" fillId="6" borderId="3" xfId="4" applyFont="1" applyFill="1" applyBorder="1" applyAlignment="1">
      <alignment horizontal="center" vertical="center" wrapText="1"/>
    </xf>
    <xf numFmtId="0" fontId="10" fillId="6" borderId="5" xfId="4" applyFont="1" applyFill="1" applyBorder="1" applyAlignment="1">
      <alignment horizontal="center" vertical="center" wrapText="1"/>
    </xf>
    <xf numFmtId="0" fontId="10" fillId="6" borderId="3" xfId="1" applyFont="1" applyFill="1" applyBorder="1" applyAlignment="1">
      <alignment horizontal="center" vertical="center" wrapText="1"/>
    </xf>
    <xf numFmtId="0" fontId="10" fillId="6" borderId="5" xfId="1" applyFont="1" applyFill="1" applyBorder="1" applyAlignment="1">
      <alignment horizontal="center" vertical="center" wrapText="1"/>
    </xf>
    <xf numFmtId="0" fontId="15" fillId="6" borderId="3" xfId="2" applyFont="1" applyFill="1" applyBorder="1" applyAlignment="1">
      <alignment horizontal="center" vertical="center" wrapText="1"/>
    </xf>
    <xf numFmtId="0" fontId="15" fillId="6" borderId="4" xfId="2" applyFont="1" applyFill="1" applyBorder="1" applyAlignment="1">
      <alignment horizontal="center" vertical="center" wrapText="1"/>
    </xf>
    <xf numFmtId="0" fontId="15" fillId="6" borderId="5" xfId="2" applyFont="1" applyFill="1" applyBorder="1" applyAlignment="1">
      <alignment horizontal="center" vertical="center" wrapText="1"/>
    </xf>
  </cellXfs>
  <cellStyles count="6">
    <cellStyle name="표준" xfId="0" builtinId="0"/>
    <cellStyle name="표준 10 2" xfId="3"/>
    <cellStyle name="표준 2" xfId="1"/>
    <cellStyle name="표준 4 2" xfId="4"/>
    <cellStyle name="표준 4 2 2 2 2" xfId="2"/>
    <cellStyle name="표준 7" xfId="5"/>
  </cellStyles>
  <dxfs count="0"/>
  <tableStyles count="0" defaultTableStyle="TableStyleMedium2" defaultPivotStyle="PivotStyleLight16"/>
  <colors>
    <mruColors>
      <color rgb="FF0000FF"/>
      <color rgb="FFE5E5FF"/>
      <color rgb="FFFF3399"/>
      <color rgb="FFFF33CC"/>
      <color rgb="FF8BE1FF"/>
      <color rgb="FFFFCCCC"/>
      <color rgb="FFFFCCFF"/>
      <color rgb="FFFFE285"/>
      <color rgb="FFE6B8B7"/>
      <color rgb="FFD9D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7"/>
  <sheetViews>
    <sheetView tabSelected="1" topLeftCell="J25" zoomScale="64" zoomScaleNormal="64" zoomScaleSheetLayoutView="35" workbookViewId="0">
      <selection activeCell="AA46" sqref="AA46"/>
    </sheetView>
  </sheetViews>
  <sheetFormatPr defaultColWidth="9" defaultRowHeight="13.5"/>
  <cols>
    <col min="1" max="1" width="8.5" style="1" customWidth="1"/>
    <col min="2" max="6" width="11.875" style="1" customWidth="1"/>
    <col min="7" max="7" width="10.625" style="1" customWidth="1"/>
    <col min="8" max="8" width="8.5" style="1" customWidth="1"/>
    <col min="9" max="13" width="11.875" style="1" customWidth="1"/>
    <col min="14" max="14" width="10.625" style="1" customWidth="1"/>
    <col min="15" max="15" width="8.5" style="1" customWidth="1"/>
    <col min="16" max="20" width="11.875" style="1" customWidth="1"/>
    <col min="21" max="21" width="10.625" style="1" customWidth="1"/>
    <col min="22" max="22" width="8.5" style="1" customWidth="1"/>
    <col min="23" max="27" width="11.875" style="1" customWidth="1"/>
    <col min="28" max="28" width="10.625" style="1" customWidth="1"/>
    <col min="29" max="29" width="8.5" style="1" customWidth="1"/>
    <col min="30" max="34" width="11.875" style="1" customWidth="1"/>
    <col min="35" max="35" width="10.625" style="1" customWidth="1"/>
    <col min="36" max="36" width="8.5" style="1" customWidth="1"/>
    <col min="37" max="41" width="11.875" style="1" customWidth="1"/>
    <col min="42" max="42" width="10.625" style="1" customWidth="1"/>
    <col min="43" max="44" width="9.875" style="1" customWidth="1"/>
    <col min="45" max="16384" width="9" style="1"/>
  </cols>
  <sheetData>
    <row r="1" spans="1:42" ht="39.75" customHeight="1">
      <c r="A1" s="133" t="s">
        <v>53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</row>
    <row r="2" spans="1:42">
      <c r="A2" s="41"/>
      <c r="B2" s="41" t="s">
        <v>0</v>
      </c>
      <c r="C2" s="41" t="s">
        <v>1</v>
      </c>
      <c r="D2" s="41" t="s">
        <v>2</v>
      </c>
      <c r="E2" s="41" t="s">
        <v>3</v>
      </c>
      <c r="F2" s="41" t="s">
        <v>4</v>
      </c>
      <c r="G2" s="41" t="s">
        <v>5</v>
      </c>
      <c r="H2" s="41"/>
      <c r="I2" s="41" t="s">
        <v>54</v>
      </c>
      <c r="J2" s="41" t="s">
        <v>49</v>
      </c>
      <c r="K2" s="41" t="s">
        <v>50</v>
      </c>
      <c r="L2" s="41" t="s">
        <v>55</v>
      </c>
      <c r="M2" s="41" t="s">
        <v>56</v>
      </c>
      <c r="N2" s="41" t="s">
        <v>57</v>
      </c>
      <c r="O2" s="41"/>
      <c r="P2" s="41" t="s">
        <v>58</v>
      </c>
      <c r="Q2" s="41" t="s">
        <v>49</v>
      </c>
      <c r="R2" s="41" t="s">
        <v>59</v>
      </c>
      <c r="S2" s="41" t="s">
        <v>55</v>
      </c>
      <c r="T2" s="41" t="s">
        <v>51</v>
      </c>
      <c r="U2" s="41" t="s">
        <v>57</v>
      </c>
      <c r="V2" s="41"/>
      <c r="W2" s="41" t="s">
        <v>58</v>
      </c>
      <c r="X2" s="41" t="s">
        <v>60</v>
      </c>
      <c r="Y2" s="41" t="s">
        <v>59</v>
      </c>
      <c r="Z2" s="41" t="s">
        <v>55</v>
      </c>
      <c r="AA2" s="41" t="s">
        <v>56</v>
      </c>
      <c r="AB2" s="41" t="s">
        <v>57</v>
      </c>
      <c r="AC2" s="41"/>
      <c r="AD2" s="41" t="s">
        <v>58</v>
      </c>
      <c r="AE2" s="41" t="s">
        <v>60</v>
      </c>
      <c r="AF2" s="41" t="s">
        <v>59</v>
      </c>
      <c r="AG2" s="41" t="s">
        <v>55</v>
      </c>
      <c r="AH2" s="41" t="s">
        <v>56</v>
      </c>
      <c r="AI2" s="41" t="s">
        <v>57</v>
      </c>
      <c r="AJ2" s="41"/>
      <c r="AK2" s="41" t="s">
        <v>58</v>
      </c>
      <c r="AL2" s="41" t="s">
        <v>60</v>
      </c>
      <c r="AM2" s="41" t="s">
        <v>59</v>
      </c>
      <c r="AN2" s="41" t="s">
        <v>55</v>
      </c>
      <c r="AO2" s="41" t="s">
        <v>56</v>
      </c>
      <c r="AP2" s="41" t="s">
        <v>57</v>
      </c>
    </row>
    <row r="3" spans="1:42">
      <c r="A3" s="2" t="s">
        <v>6</v>
      </c>
      <c r="B3" s="4">
        <v>45159</v>
      </c>
      <c r="C3" s="3">
        <f>B3+1</f>
        <v>45160</v>
      </c>
      <c r="D3" s="3">
        <f>C3+1</f>
        <v>45161</v>
      </c>
      <c r="E3" s="3">
        <f>D3+1</f>
        <v>45162</v>
      </c>
      <c r="F3" s="3">
        <f>E3+1</f>
        <v>45163</v>
      </c>
      <c r="G3" s="3">
        <f>F3+1</f>
        <v>45164</v>
      </c>
      <c r="H3" s="2" t="s">
        <v>61</v>
      </c>
      <c r="I3" s="3">
        <f>B25+7</f>
        <v>45180</v>
      </c>
      <c r="J3" s="3">
        <f>I3+1</f>
        <v>45181</v>
      </c>
      <c r="K3" s="3">
        <f>J3+1</f>
        <v>45182</v>
      </c>
      <c r="L3" s="4">
        <f>K3+1</f>
        <v>45183</v>
      </c>
      <c r="M3" s="4">
        <f>L3+1</f>
        <v>45184</v>
      </c>
      <c r="N3" s="3">
        <f>M3+1</f>
        <v>45185</v>
      </c>
      <c r="O3" s="2" t="s">
        <v>62</v>
      </c>
      <c r="P3" s="3">
        <f>I25+7</f>
        <v>45201</v>
      </c>
      <c r="Q3" s="3">
        <f>P3+1</f>
        <v>45202</v>
      </c>
      <c r="R3" s="3">
        <f>Q3+1</f>
        <v>45203</v>
      </c>
      <c r="S3" s="3">
        <f>R3+1</f>
        <v>45204</v>
      </c>
      <c r="T3" s="3">
        <f>S3+1</f>
        <v>45205</v>
      </c>
      <c r="U3" s="3">
        <f>T3+1</f>
        <v>45206</v>
      </c>
      <c r="V3" s="2" t="s">
        <v>52</v>
      </c>
      <c r="W3" s="3">
        <f>P25+7</f>
        <v>45222</v>
      </c>
      <c r="X3" s="3">
        <f>W3+1</f>
        <v>45223</v>
      </c>
      <c r="Y3" s="3">
        <f>X3+1</f>
        <v>45224</v>
      </c>
      <c r="Z3" s="3">
        <f>Y3+1</f>
        <v>45225</v>
      </c>
      <c r="AA3" s="3">
        <f>Z3+1</f>
        <v>45226</v>
      </c>
      <c r="AB3" s="3">
        <f>AA3+1</f>
        <v>45227</v>
      </c>
      <c r="AC3" s="2" t="s">
        <v>63</v>
      </c>
      <c r="AD3" s="3">
        <f>W25+7</f>
        <v>45243</v>
      </c>
      <c r="AE3" s="3">
        <f>AD3+1</f>
        <v>45244</v>
      </c>
      <c r="AF3" s="3">
        <f>AE3+1</f>
        <v>45245</v>
      </c>
      <c r="AG3" s="3">
        <f>AF3+1</f>
        <v>45246</v>
      </c>
      <c r="AH3" s="3">
        <f>AG3+1</f>
        <v>45247</v>
      </c>
      <c r="AI3" s="3">
        <f>AH3+1</f>
        <v>45248</v>
      </c>
      <c r="AJ3" s="2" t="s">
        <v>64</v>
      </c>
      <c r="AK3" s="3">
        <f>AD25+7</f>
        <v>45264</v>
      </c>
      <c r="AL3" s="3">
        <f>AK3+1</f>
        <v>45265</v>
      </c>
      <c r="AM3" s="3">
        <f>AL3+1</f>
        <v>45266</v>
      </c>
      <c r="AN3" s="3">
        <f>AM3+1</f>
        <v>45267</v>
      </c>
      <c r="AO3" s="3">
        <f>AN3+1</f>
        <v>45268</v>
      </c>
      <c r="AP3" s="3">
        <f>AO3+1</f>
        <v>45269</v>
      </c>
    </row>
    <row r="4" spans="1:42" ht="48" customHeight="1">
      <c r="A4" s="5" t="s">
        <v>7</v>
      </c>
      <c r="B4" s="41" t="s">
        <v>65</v>
      </c>
      <c r="C4" s="29" t="s">
        <v>66</v>
      </c>
      <c r="D4" s="29" t="s">
        <v>67</v>
      </c>
      <c r="E4" s="131" t="s">
        <v>27</v>
      </c>
      <c r="F4" s="74" t="s">
        <v>30</v>
      </c>
      <c r="G4" s="101">
        <v>18</v>
      </c>
      <c r="H4" s="5" t="s">
        <v>7</v>
      </c>
      <c r="I4" s="142" t="s">
        <v>68</v>
      </c>
      <c r="J4" s="112" t="s">
        <v>69</v>
      </c>
      <c r="K4" s="55" t="s">
        <v>46</v>
      </c>
      <c r="L4" s="74" t="s">
        <v>70</v>
      </c>
      <c r="M4" s="134" t="s">
        <v>71</v>
      </c>
      <c r="N4" s="101">
        <v>21</v>
      </c>
      <c r="O4" s="5" t="s">
        <v>7</v>
      </c>
      <c r="P4" s="125" t="s">
        <v>72</v>
      </c>
      <c r="Q4" s="125" t="s">
        <v>73</v>
      </c>
      <c r="R4" s="31" t="s">
        <v>74</v>
      </c>
      <c r="S4" s="43" t="s">
        <v>75</v>
      </c>
      <c r="T4" s="123" t="s">
        <v>76</v>
      </c>
      <c r="U4" s="101">
        <v>16</v>
      </c>
      <c r="V4" s="5" t="s">
        <v>7</v>
      </c>
      <c r="W4" s="32" t="s">
        <v>77</v>
      </c>
      <c r="X4" s="32" t="s">
        <v>78</v>
      </c>
      <c r="Y4" s="57" t="s">
        <v>79</v>
      </c>
      <c r="Z4" s="32" t="s">
        <v>80</v>
      </c>
      <c r="AA4" s="140" t="s">
        <v>81</v>
      </c>
      <c r="AB4" s="101">
        <v>20</v>
      </c>
      <c r="AC4" s="5" t="s">
        <v>7</v>
      </c>
      <c r="AD4" s="60" t="s">
        <v>82</v>
      </c>
      <c r="AE4" s="95" t="s">
        <v>83</v>
      </c>
      <c r="AF4" s="60" t="s">
        <v>84</v>
      </c>
      <c r="AG4" s="95" t="s">
        <v>85</v>
      </c>
      <c r="AH4" s="95" t="s">
        <v>86</v>
      </c>
      <c r="AI4" s="101">
        <v>20</v>
      </c>
      <c r="AJ4" s="5" t="s">
        <v>7</v>
      </c>
      <c r="AK4" s="36" t="s">
        <v>87</v>
      </c>
      <c r="AL4" s="36"/>
      <c r="AM4" s="36"/>
      <c r="AN4" s="36"/>
      <c r="AO4" s="36"/>
      <c r="AP4" s="101"/>
    </row>
    <row r="5" spans="1:42" ht="54">
      <c r="A5" s="5" t="s">
        <v>8</v>
      </c>
      <c r="B5" s="30" t="s">
        <v>24</v>
      </c>
      <c r="C5" s="30" t="s">
        <v>88</v>
      </c>
      <c r="D5" s="30" t="s">
        <v>89</v>
      </c>
      <c r="E5" s="132"/>
      <c r="F5" s="49" t="s">
        <v>31</v>
      </c>
      <c r="G5" s="102"/>
      <c r="H5" s="5" t="s">
        <v>8</v>
      </c>
      <c r="I5" s="142"/>
      <c r="J5" s="113"/>
      <c r="K5" s="77" t="s">
        <v>90</v>
      </c>
      <c r="L5" s="74" t="s">
        <v>91</v>
      </c>
      <c r="M5" s="135"/>
      <c r="N5" s="102"/>
      <c r="O5" s="5" t="s">
        <v>8</v>
      </c>
      <c r="P5" s="126"/>
      <c r="Q5" s="126"/>
      <c r="R5" s="31" t="s">
        <v>92</v>
      </c>
      <c r="S5" s="123" t="s">
        <v>93</v>
      </c>
      <c r="T5" s="124"/>
      <c r="U5" s="102"/>
      <c r="V5" s="5" t="s">
        <v>8</v>
      </c>
      <c r="W5" s="32" t="s">
        <v>94</v>
      </c>
      <c r="X5" s="32" t="s">
        <v>95</v>
      </c>
      <c r="Y5" s="66" t="s">
        <v>96</v>
      </c>
      <c r="Z5" s="32" t="s">
        <v>97</v>
      </c>
      <c r="AA5" s="141"/>
      <c r="AB5" s="102"/>
      <c r="AC5" s="5" t="s">
        <v>8</v>
      </c>
      <c r="AD5" s="60" t="s">
        <v>98</v>
      </c>
      <c r="AE5" s="96"/>
      <c r="AF5" s="33" t="s">
        <v>99</v>
      </c>
      <c r="AG5" s="96"/>
      <c r="AH5" s="96"/>
      <c r="AI5" s="102"/>
      <c r="AJ5" s="5" t="s">
        <v>8</v>
      </c>
      <c r="AK5" s="36"/>
      <c r="AL5" s="36"/>
      <c r="AM5" s="36"/>
      <c r="AN5" s="36"/>
      <c r="AO5" s="36"/>
      <c r="AP5" s="102"/>
    </row>
    <row r="6" spans="1:42" ht="54">
      <c r="A6" s="5" t="s">
        <v>9</v>
      </c>
      <c r="B6" s="30" t="s">
        <v>25</v>
      </c>
      <c r="C6" s="30" t="s">
        <v>100</v>
      </c>
      <c r="D6" s="30" t="s">
        <v>101</v>
      </c>
      <c r="E6" s="112" t="s">
        <v>102</v>
      </c>
      <c r="F6" s="74" t="s">
        <v>103</v>
      </c>
      <c r="G6" s="102"/>
      <c r="H6" s="5" t="s">
        <v>9</v>
      </c>
      <c r="I6" s="56"/>
      <c r="J6" s="145" t="s">
        <v>47</v>
      </c>
      <c r="K6" s="78" t="s">
        <v>104</v>
      </c>
      <c r="L6" s="74" t="s">
        <v>105</v>
      </c>
      <c r="M6" s="135"/>
      <c r="N6" s="102"/>
      <c r="O6" s="5" t="s">
        <v>9</v>
      </c>
      <c r="P6" s="126"/>
      <c r="Q6" s="126"/>
      <c r="R6" s="123" t="s">
        <v>106</v>
      </c>
      <c r="S6" s="124"/>
      <c r="T6" s="31" t="s">
        <v>107</v>
      </c>
      <c r="U6" s="102"/>
      <c r="V6" s="5" t="s">
        <v>9</v>
      </c>
      <c r="W6" s="32" t="s">
        <v>108</v>
      </c>
      <c r="X6" s="32" t="s">
        <v>109</v>
      </c>
      <c r="Y6" s="66" t="s">
        <v>110</v>
      </c>
      <c r="Z6" s="140" t="s">
        <v>111</v>
      </c>
      <c r="AA6" s="73" t="s">
        <v>112</v>
      </c>
      <c r="AB6" s="102"/>
      <c r="AC6" s="5" t="s">
        <v>9</v>
      </c>
      <c r="AD6" s="95" t="s">
        <v>113</v>
      </c>
      <c r="AE6" s="95" t="s">
        <v>114</v>
      </c>
      <c r="AF6" s="119" t="s">
        <v>115</v>
      </c>
      <c r="AG6" s="60" t="s">
        <v>116</v>
      </c>
      <c r="AH6" s="119" t="s">
        <v>117</v>
      </c>
      <c r="AI6" s="102"/>
      <c r="AJ6" s="5" t="s">
        <v>9</v>
      </c>
      <c r="AK6" s="36"/>
      <c r="AL6" s="36"/>
      <c r="AM6" s="36"/>
      <c r="AN6" s="36"/>
      <c r="AO6" s="36"/>
      <c r="AP6" s="102"/>
    </row>
    <row r="7" spans="1:42" ht="48" customHeight="1">
      <c r="A7" s="5" t="s">
        <v>10</v>
      </c>
      <c r="B7" s="74" t="s">
        <v>26</v>
      </c>
      <c r="C7" s="74" t="s">
        <v>118</v>
      </c>
      <c r="D7" s="74" t="s">
        <v>119</v>
      </c>
      <c r="E7" s="113"/>
      <c r="F7" s="51"/>
      <c r="G7" s="103"/>
      <c r="H7" s="5" t="s">
        <v>10</v>
      </c>
      <c r="I7" s="143" t="s">
        <v>120</v>
      </c>
      <c r="J7" s="146"/>
      <c r="K7" s="65" t="s">
        <v>121</v>
      </c>
      <c r="L7" s="74" t="s">
        <v>122</v>
      </c>
      <c r="M7" s="136"/>
      <c r="N7" s="103"/>
      <c r="O7" s="5" t="s">
        <v>10</v>
      </c>
      <c r="P7" s="126"/>
      <c r="Q7" s="126"/>
      <c r="R7" s="124"/>
      <c r="S7" s="31" t="s">
        <v>123</v>
      </c>
      <c r="T7" s="31" t="s">
        <v>124</v>
      </c>
      <c r="U7" s="103"/>
      <c r="V7" s="5" t="s">
        <v>10</v>
      </c>
      <c r="W7" s="32" t="s">
        <v>125</v>
      </c>
      <c r="X7" s="58" t="s">
        <v>126</v>
      </c>
      <c r="Y7" s="66" t="s">
        <v>127</v>
      </c>
      <c r="Z7" s="141"/>
      <c r="AA7" s="32" t="s">
        <v>128</v>
      </c>
      <c r="AB7" s="103"/>
      <c r="AC7" s="5" t="s">
        <v>10</v>
      </c>
      <c r="AD7" s="96"/>
      <c r="AE7" s="118"/>
      <c r="AF7" s="118"/>
      <c r="AG7" s="60" t="s">
        <v>129</v>
      </c>
      <c r="AH7" s="118"/>
      <c r="AI7" s="103"/>
      <c r="AJ7" s="5" t="s">
        <v>10</v>
      </c>
      <c r="AK7" s="36"/>
      <c r="AL7" s="36"/>
      <c r="AM7" s="36"/>
      <c r="AN7" s="36"/>
      <c r="AO7" s="36"/>
      <c r="AP7" s="103"/>
    </row>
    <row r="8" spans="1:42" ht="27" customHeight="1">
      <c r="A8" s="5" t="s">
        <v>11</v>
      </c>
      <c r="B8" s="41"/>
      <c r="C8" s="51"/>
      <c r="D8" s="51"/>
      <c r="E8" s="41"/>
      <c r="F8" s="85" t="s">
        <v>32</v>
      </c>
      <c r="G8" s="6"/>
      <c r="H8" s="5" t="s">
        <v>11</v>
      </c>
      <c r="I8" s="144"/>
      <c r="J8" s="41"/>
      <c r="K8" s="41"/>
      <c r="L8" s="41"/>
      <c r="M8" s="41"/>
      <c r="N8" s="6"/>
      <c r="O8" s="5" t="s">
        <v>11</v>
      </c>
      <c r="P8" s="126"/>
      <c r="Q8" s="126"/>
      <c r="R8" s="41"/>
      <c r="S8" s="41"/>
      <c r="T8" s="41"/>
      <c r="U8" s="6"/>
      <c r="V8" s="5" t="s">
        <v>11</v>
      </c>
      <c r="W8" s="41"/>
      <c r="X8" s="41"/>
      <c r="Y8" s="41"/>
      <c r="Z8" s="41"/>
      <c r="AA8" s="41"/>
      <c r="AB8" s="6"/>
      <c r="AC8" s="5" t="s">
        <v>11</v>
      </c>
      <c r="AD8" s="41"/>
      <c r="AE8" s="41"/>
      <c r="AF8" s="41"/>
      <c r="AG8" s="41"/>
      <c r="AH8" s="41"/>
      <c r="AI8" s="6"/>
      <c r="AJ8" s="5" t="s">
        <v>11</v>
      </c>
      <c r="AK8" s="10"/>
      <c r="AL8" s="10"/>
      <c r="AM8" s="10"/>
      <c r="AN8" s="10"/>
      <c r="AO8" s="10"/>
      <c r="AP8" s="6"/>
    </row>
    <row r="9" spans="1:42" ht="48" customHeight="1">
      <c r="A9" s="5" t="s">
        <v>12</v>
      </c>
      <c r="B9" s="112" t="s">
        <v>28</v>
      </c>
      <c r="C9" s="85" t="s">
        <v>130</v>
      </c>
      <c r="D9" s="74" t="s">
        <v>131</v>
      </c>
      <c r="E9" s="50" t="s">
        <v>102</v>
      </c>
      <c r="F9" s="86"/>
      <c r="G9" s="88">
        <v>12</v>
      </c>
      <c r="H9" s="5" t="s">
        <v>12</v>
      </c>
      <c r="I9" s="144"/>
      <c r="J9" s="69" t="s">
        <v>132</v>
      </c>
      <c r="K9" s="114" t="s">
        <v>133</v>
      </c>
      <c r="L9" s="128" t="s">
        <v>71</v>
      </c>
      <c r="M9" s="137" t="s">
        <v>134</v>
      </c>
      <c r="N9" s="88"/>
      <c r="O9" s="5" t="s">
        <v>12</v>
      </c>
      <c r="P9" s="126"/>
      <c r="Q9" s="126"/>
      <c r="R9" s="169" t="s">
        <v>135</v>
      </c>
      <c r="S9" s="114" t="s">
        <v>136</v>
      </c>
      <c r="T9" s="109" t="s">
        <v>48</v>
      </c>
      <c r="U9" s="88">
        <v>4</v>
      </c>
      <c r="V9" s="5" t="s">
        <v>12</v>
      </c>
      <c r="W9" s="32" t="s">
        <v>137</v>
      </c>
      <c r="X9" s="58" t="s">
        <v>138</v>
      </c>
      <c r="Y9" s="114" t="s">
        <v>139</v>
      </c>
      <c r="Z9" s="32" t="s">
        <v>140</v>
      </c>
      <c r="AA9" s="32" t="s">
        <v>141</v>
      </c>
      <c r="AB9" s="88">
        <v>8</v>
      </c>
      <c r="AC9" s="5" t="s">
        <v>12</v>
      </c>
      <c r="AD9" s="95" t="s">
        <v>142</v>
      </c>
      <c r="AE9" s="68" t="s">
        <v>143</v>
      </c>
      <c r="AF9" s="109" t="s">
        <v>48</v>
      </c>
      <c r="AG9" s="119" t="s">
        <v>144</v>
      </c>
      <c r="AH9" s="95" t="s">
        <v>145</v>
      </c>
      <c r="AI9" s="94" t="s">
        <v>146</v>
      </c>
      <c r="AJ9" s="5" t="s">
        <v>12</v>
      </c>
      <c r="AK9" s="36"/>
      <c r="AL9" s="36"/>
      <c r="AM9" s="36"/>
      <c r="AN9" s="36"/>
      <c r="AO9" s="36"/>
      <c r="AP9" s="88"/>
    </row>
    <row r="10" spans="1:42" ht="48" customHeight="1">
      <c r="A10" s="5" t="s">
        <v>13</v>
      </c>
      <c r="B10" s="113"/>
      <c r="C10" s="86"/>
      <c r="D10" s="74" t="s">
        <v>147</v>
      </c>
      <c r="E10" s="74" t="s">
        <v>29</v>
      </c>
      <c r="F10" s="86"/>
      <c r="G10" s="89"/>
      <c r="H10" s="5" t="s">
        <v>13</v>
      </c>
      <c r="I10" s="144"/>
      <c r="J10" s="112" t="s">
        <v>148</v>
      </c>
      <c r="K10" s="115"/>
      <c r="L10" s="129"/>
      <c r="M10" s="138"/>
      <c r="N10" s="89"/>
      <c r="O10" s="5" t="s">
        <v>13</v>
      </c>
      <c r="P10" s="126"/>
      <c r="Q10" s="126"/>
      <c r="R10" s="170"/>
      <c r="S10" s="115"/>
      <c r="T10" s="110"/>
      <c r="U10" s="89"/>
      <c r="V10" s="5" t="s">
        <v>13</v>
      </c>
      <c r="W10" s="35" t="s">
        <v>149</v>
      </c>
      <c r="X10" s="32" t="s">
        <v>150</v>
      </c>
      <c r="Y10" s="115"/>
      <c r="Z10" s="32" t="s">
        <v>151</v>
      </c>
      <c r="AA10" s="32" t="s">
        <v>152</v>
      </c>
      <c r="AB10" s="89"/>
      <c r="AC10" s="5" t="s">
        <v>13</v>
      </c>
      <c r="AD10" s="96"/>
      <c r="AE10" s="33" t="s">
        <v>153</v>
      </c>
      <c r="AF10" s="110"/>
      <c r="AG10" s="118"/>
      <c r="AH10" s="96"/>
      <c r="AI10" s="93"/>
      <c r="AJ10" s="5" t="s">
        <v>13</v>
      </c>
      <c r="AK10" s="37"/>
      <c r="AL10" s="37"/>
      <c r="AM10" s="37"/>
      <c r="AN10" s="37"/>
      <c r="AO10" s="37"/>
      <c r="AP10" s="89"/>
    </row>
    <row r="11" spans="1:42" ht="48" customHeight="1">
      <c r="A11" s="7" t="s">
        <v>154</v>
      </c>
      <c r="B11" s="41"/>
      <c r="C11" s="87"/>
      <c r="D11" s="53"/>
      <c r="E11" s="41"/>
      <c r="F11" s="41"/>
      <c r="G11" s="90"/>
      <c r="H11" s="7" t="s">
        <v>154</v>
      </c>
      <c r="I11" s="41"/>
      <c r="J11" s="113"/>
      <c r="K11" s="116"/>
      <c r="L11" s="130"/>
      <c r="M11" s="139"/>
      <c r="N11" s="90"/>
      <c r="O11" s="7" t="s">
        <v>154</v>
      </c>
      <c r="P11" s="127"/>
      <c r="Q11" s="127"/>
      <c r="R11" s="80" t="s">
        <v>155</v>
      </c>
      <c r="S11" s="116"/>
      <c r="T11" s="110"/>
      <c r="U11" s="90"/>
      <c r="V11" s="7" t="s">
        <v>154</v>
      </c>
      <c r="W11" s="24"/>
      <c r="X11" s="28"/>
      <c r="Y11" s="116"/>
      <c r="Z11" s="24"/>
      <c r="AB11" s="90"/>
      <c r="AC11" s="7" t="s">
        <v>154</v>
      </c>
      <c r="AD11" s="24"/>
      <c r="AE11" s="28"/>
      <c r="AF11" s="110"/>
      <c r="AG11" s="24"/>
      <c r="AH11" s="24"/>
      <c r="AI11" s="72">
        <v>10</v>
      </c>
      <c r="AJ11" s="7" t="s">
        <v>154</v>
      </c>
      <c r="AK11" s="24"/>
      <c r="AL11" s="28"/>
      <c r="AM11" s="13"/>
      <c r="AN11" s="24"/>
      <c r="AO11" s="24"/>
      <c r="AP11" s="90"/>
    </row>
    <row r="12" spans="1:42" ht="48" customHeight="1">
      <c r="A12" s="7" t="s">
        <v>156</v>
      </c>
      <c r="B12" s="40"/>
      <c r="C12" s="41"/>
      <c r="D12" s="41"/>
      <c r="E12" s="8"/>
      <c r="F12" s="19"/>
      <c r="G12" s="21"/>
      <c r="H12" s="7" t="s">
        <v>156</v>
      </c>
      <c r="I12" s="72"/>
      <c r="J12" s="41"/>
      <c r="K12" s="41"/>
      <c r="L12" s="8"/>
      <c r="M12" s="19"/>
      <c r="N12" s="21"/>
      <c r="O12" s="7" t="s">
        <v>156</v>
      </c>
      <c r="P12" s="72"/>
      <c r="Q12" s="41"/>
      <c r="R12" s="81" t="s">
        <v>157</v>
      </c>
      <c r="S12" s="8"/>
      <c r="T12" s="111"/>
      <c r="U12" s="21"/>
      <c r="V12" s="7" t="s">
        <v>158</v>
      </c>
      <c r="W12" s="72"/>
      <c r="X12" s="41"/>
      <c r="Y12" s="41"/>
      <c r="Z12" s="8"/>
      <c r="AA12" s="19"/>
      <c r="AB12" s="21"/>
      <c r="AC12" s="7" t="s">
        <v>156</v>
      </c>
      <c r="AD12" s="72"/>
      <c r="AE12" s="41"/>
      <c r="AF12" s="111"/>
      <c r="AG12" s="8"/>
      <c r="AH12" s="19"/>
      <c r="AI12" s="21"/>
      <c r="AJ12" s="7" t="s">
        <v>156</v>
      </c>
      <c r="AK12" s="72"/>
      <c r="AL12" s="41"/>
      <c r="AM12" s="41"/>
      <c r="AN12" s="8"/>
      <c r="AO12" s="19"/>
      <c r="AP12" s="21"/>
    </row>
    <row r="13" spans="1:42" s="23" customFormat="1" ht="13.5" customHeight="1">
      <c r="A13" s="22"/>
      <c r="B13" s="25"/>
      <c r="C13" s="25"/>
      <c r="D13" s="25"/>
      <c r="E13" s="25"/>
      <c r="F13" s="70"/>
      <c r="G13" s="70"/>
      <c r="H13" s="70"/>
      <c r="I13" s="70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>
      <c r="A14" s="5" t="s">
        <v>159</v>
      </c>
      <c r="B14" s="4">
        <f>B3+7</f>
        <v>45166</v>
      </c>
      <c r="C14" s="4">
        <f>B14+1</f>
        <v>45167</v>
      </c>
      <c r="D14" s="4">
        <f>C14+1</f>
        <v>45168</v>
      </c>
      <c r="E14" s="4">
        <f>D14+1</f>
        <v>45169</v>
      </c>
      <c r="F14" s="4">
        <f>E14+1</f>
        <v>45170</v>
      </c>
      <c r="G14" s="4">
        <f>F14+1</f>
        <v>45171</v>
      </c>
      <c r="H14" s="5" t="s">
        <v>160</v>
      </c>
      <c r="I14" s="4">
        <f>I3+7</f>
        <v>45187</v>
      </c>
      <c r="J14" s="4">
        <f>I14+1</f>
        <v>45188</v>
      </c>
      <c r="K14" s="4">
        <f>J14+1</f>
        <v>45189</v>
      </c>
      <c r="L14" s="4">
        <f>K14+1</f>
        <v>45190</v>
      </c>
      <c r="M14" s="4">
        <f>L14+1</f>
        <v>45191</v>
      </c>
      <c r="N14" s="4">
        <f>M14+1</f>
        <v>45192</v>
      </c>
      <c r="O14" s="5" t="s">
        <v>161</v>
      </c>
      <c r="P14" s="4">
        <f>P3+7</f>
        <v>45208</v>
      </c>
      <c r="Q14" s="4">
        <f>P14+1</f>
        <v>45209</v>
      </c>
      <c r="R14" s="4">
        <f>Q14+1</f>
        <v>45210</v>
      </c>
      <c r="S14" s="4">
        <f>R14+1</f>
        <v>45211</v>
      </c>
      <c r="T14" s="4">
        <f>S14+1</f>
        <v>45212</v>
      </c>
      <c r="U14" s="4">
        <f>T14+1</f>
        <v>45213</v>
      </c>
      <c r="V14" s="5" t="s">
        <v>162</v>
      </c>
      <c r="W14" s="4">
        <f>W3+7</f>
        <v>45229</v>
      </c>
      <c r="X14" s="4">
        <f>W14+1</f>
        <v>45230</v>
      </c>
      <c r="Y14" s="4">
        <f>X14+1</f>
        <v>45231</v>
      </c>
      <c r="Z14" s="4">
        <f>Y14+1</f>
        <v>45232</v>
      </c>
      <c r="AA14" s="4">
        <f>Z14+1</f>
        <v>45233</v>
      </c>
      <c r="AB14" s="4">
        <f>AA14+1</f>
        <v>45234</v>
      </c>
      <c r="AC14" s="5" t="s">
        <v>163</v>
      </c>
      <c r="AD14" s="4">
        <f>AD3+7</f>
        <v>45250</v>
      </c>
      <c r="AE14" s="4">
        <f>AD14+1</f>
        <v>45251</v>
      </c>
      <c r="AF14" s="4">
        <f>AE14+1</f>
        <v>45252</v>
      </c>
      <c r="AG14" s="4">
        <f>AF14+1</f>
        <v>45253</v>
      </c>
      <c r="AH14" s="4">
        <f>AG14+1</f>
        <v>45254</v>
      </c>
      <c r="AI14" s="4">
        <f>AH14+1</f>
        <v>45255</v>
      </c>
      <c r="AJ14" s="5" t="s">
        <v>164</v>
      </c>
      <c r="AK14" s="4">
        <f>AK3+7</f>
        <v>45271</v>
      </c>
      <c r="AL14" s="4">
        <f>AK14+1</f>
        <v>45272</v>
      </c>
      <c r="AM14" s="4">
        <f>AL14+1</f>
        <v>45273</v>
      </c>
      <c r="AN14" s="4">
        <f>AM14+1</f>
        <v>45274</v>
      </c>
      <c r="AO14" s="4">
        <f>AN14+1</f>
        <v>45275</v>
      </c>
      <c r="AP14" s="4">
        <f>AO14+1</f>
        <v>45276</v>
      </c>
    </row>
    <row r="15" spans="1:42" ht="48" customHeight="1">
      <c r="A15" s="5" t="s">
        <v>7</v>
      </c>
      <c r="B15" s="112" t="s">
        <v>165</v>
      </c>
      <c r="C15" s="74" t="s">
        <v>166</v>
      </c>
      <c r="D15" s="74" t="s">
        <v>167</v>
      </c>
      <c r="E15" s="112" t="s">
        <v>168</v>
      </c>
      <c r="F15" s="134" t="s">
        <v>71</v>
      </c>
      <c r="G15" s="101">
        <v>16</v>
      </c>
      <c r="H15" s="5" t="s">
        <v>7</v>
      </c>
      <c r="I15" s="123" t="s">
        <v>169</v>
      </c>
      <c r="J15" s="31" t="s">
        <v>170</v>
      </c>
      <c r="K15" s="31" t="s">
        <v>171</v>
      </c>
      <c r="L15" s="31" t="s">
        <v>172</v>
      </c>
      <c r="M15" s="123" t="s">
        <v>173</v>
      </c>
      <c r="N15" s="101">
        <v>20</v>
      </c>
      <c r="O15" s="5" t="s">
        <v>7</v>
      </c>
      <c r="P15" s="125" t="s">
        <v>174</v>
      </c>
      <c r="Q15" s="31" t="s">
        <v>175</v>
      </c>
      <c r="R15" s="31" t="s">
        <v>176</v>
      </c>
      <c r="S15" s="31" t="s">
        <v>177</v>
      </c>
      <c r="T15" s="123" t="s">
        <v>178</v>
      </c>
      <c r="U15" s="101">
        <v>15</v>
      </c>
      <c r="V15" s="5" t="s">
        <v>7</v>
      </c>
      <c r="W15" s="32" t="s">
        <v>179</v>
      </c>
      <c r="X15" s="140" t="s">
        <v>180</v>
      </c>
      <c r="Y15" s="32" t="s">
        <v>181</v>
      </c>
      <c r="Z15" s="140" t="s">
        <v>182</v>
      </c>
      <c r="AB15" s="101">
        <v>20</v>
      </c>
      <c r="AC15" s="5" t="s">
        <v>7</v>
      </c>
      <c r="AD15" s="95" t="s">
        <v>183</v>
      </c>
      <c r="AE15" s="60" t="s">
        <v>184</v>
      </c>
      <c r="AF15" s="95" t="s">
        <v>185</v>
      </c>
      <c r="AG15" s="60" t="s">
        <v>186</v>
      </c>
      <c r="AH15" s="60" t="s">
        <v>187</v>
      </c>
      <c r="AI15" s="101">
        <v>20</v>
      </c>
      <c r="AJ15" s="5" t="s">
        <v>7</v>
      </c>
      <c r="AK15" s="15"/>
      <c r="AL15" s="15"/>
      <c r="AM15" s="14"/>
      <c r="AN15" s="14"/>
      <c r="AO15" s="166" t="s">
        <v>188</v>
      </c>
      <c r="AP15" s="147"/>
    </row>
    <row r="16" spans="1:42" ht="48" customHeight="1">
      <c r="A16" s="5" t="s">
        <v>8</v>
      </c>
      <c r="B16" s="113"/>
      <c r="C16" s="112" t="s">
        <v>33</v>
      </c>
      <c r="D16" s="74" t="s">
        <v>189</v>
      </c>
      <c r="E16" s="117"/>
      <c r="F16" s="135"/>
      <c r="G16" s="102"/>
      <c r="H16" s="5" t="s">
        <v>8</v>
      </c>
      <c r="I16" s="124"/>
      <c r="J16" s="123" t="s">
        <v>190</v>
      </c>
      <c r="K16" s="31" t="s">
        <v>191</v>
      </c>
      <c r="L16" s="31" t="s">
        <v>192</v>
      </c>
      <c r="M16" s="124"/>
      <c r="N16" s="102"/>
      <c r="O16" s="5" t="s">
        <v>8</v>
      </c>
      <c r="P16" s="126"/>
      <c r="Q16" s="31" t="s">
        <v>193</v>
      </c>
      <c r="R16" s="31" t="s">
        <v>194</v>
      </c>
      <c r="S16" s="31" t="s">
        <v>195</v>
      </c>
      <c r="T16" s="124"/>
      <c r="U16" s="102"/>
      <c r="V16" s="5" t="s">
        <v>8</v>
      </c>
      <c r="W16" s="32" t="s">
        <v>196</v>
      </c>
      <c r="X16" s="148"/>
      <c r="Y16" s="73" t="s">
        <v>197</v>
      </c>
      <c r="Z16" s="149"/>
      <c r="AA16" s="140" t="s">
        <v>198</v>
      </c>
      <c r="AB16" s="102"/>
      <c r="AC16" s="5" t="s">
        <v>8</v>
      </c>
      <c r="AD16" s="96"/>
      <c r="AE16" s="60" t="s">
        <v>199</v>
      </c>
      <c r="AF16" s="96"/>
      <c r="AG16" s="60" t="s">
        <v>200</v>
      </c>
      <c r="AH16" s="97" t="s">
        <v>201</v>
      </c>
      <c r="AI16" s="102"/>
      <c r="AJ16" s="5" t="s">
        <v>8</v>
      </c>
      <c r="AK16" s="15"/>
      <c r="AL16" s="15"/>
      <c r="AM16" s="14"/>
      <c r="AN16" s="14"/>
      <c r="AO16" s="167"/>
      <c r="AP16" s="147"/>
    </row>
    <row r="17" spans="1:42" ht="48" customHeight="1">
      <c r="A17" s="5" t="s">
        <v>9</v>
      </c>
      <c r="B17" s="69" t="s">
        <v>202</v>
      </c>
      <c r="C17" s="117"/>
      <c r="D17" s="112" t="s">
        <v>203</v>
      </c>
      <c r="E17" s="117"/>
      <c r="F17" s="135"/>
      <c r="G17" s="102"/>
      <c r="H17" s="5" t="s">
        <v>9</v>
      </c>
      <c r="I17" s="123" t="s">
        <v>204</v>
      </c>
      <c r="J17" s="124"/>
      <c r="K17" s="31" t="s">
        <v>205</v>
      </c>
      <c r="L17" s="31" t="s">
        <v>206</v>
      </c>
      <c r="M17" s="123" t="s">
        <v>207</v>
      </c>
      <c r="N17" s="102"/>
      <c r="O17" s="5" t="s">
        <v>9</v>
      </c>
      <c r="P17" s="126"/>
      <c r="Q17" s="31" t="s">
        <v>208</v>
      </c>
      <c r="R17" s="31" t="s">
        <v>209</v>
      </c>
      <c r="S17" s="171" t="s">
        <v>210</v>
      </c>
      <c r="T17" s="31" t="s">
        <v>211</v>
      </c>
      <c r="U17" s="102"/>
      <c r="V17" s="5" t="s">
        <v>9</v>
      </c>
      <c r="W17" s="140" t="s">
        <v>212</v>
      </c>
      <c r="X17" s="32" t="s">
        <v>213</v>
      </c>
      <c r="Y17" s="140" t="s">
        <v>214</v>
      </c>
      <c r="Z17" s="32" t="s">
        <v>215</v>
      </c>
      <c r="AA17" s="148"/>
      <c r="AB17" s="102"/>
      <c r="AC17" s="5" t="s">
        <v>9</v>
      </c>
      <c r="AD17" s="95" t="s">
        <v>216</v>
      </c>
      <c r="AE17" s="60" t="s">
        <v>217</v>
      </c>
      <c r="AF17" s="60" t="s">
        <v>218</v>
      </c>
      <c r="AG17" s="99" t="s">
        <v>219</v>
      </c>
      <c r="AH17" s="98"/>
      <c r="AI17" s="102"/>
      <c r="AJ17" s="5" t="s">
        <v>9</v>
      </c>
      <c r="AK17" s="15"/>
      <c r="AL17" s="15"/>
      <c r="AM17" s="14"/>
      <c r="AN17" s="14"/>
      <c r="AO17" s="167"/>
      <c r="AP17" s="147"/>
    </row>
    <row r="18" spans="1:42" ht="48" customHeight="1">
      <c r="A18" s="5" t="s">
        <v>10</v>
      </c>
      <c r="B18" s="74" t="s">
        <v>220</v>
      </c>
      <c r="C18" s="113"/>
      <c r="D18" s="113"/>
      <c r="E18" s="113"/>
      <c r="F18" s="136"/>
      <c r="G18" s="103"/>
      <c r="H18" s="5" t="s">
        <v>10</v>
      </c>
      <c r="I18" s="124"/>
      <c r="J18" s="31" t="s">
        <v>221</v>
      </c>
      <c r="K18" s="42" t="s">
        <v>222</v>
      </c>
      <c r="L18" s="31" t="s">
        <v>223</v>
      </c>
      <c r="M18" s="124"/>
      <c r="N18" s="103"/>
      <c r="O18" s="5" t="s">
        <v>10</v>
      </c>
      <c r="P18" s="126"/>
      <c r="Q18" s="44"/>
      <c r="R18" s="31" t="s">
        <v>224</v>
      </c>
      <c r="S18" s="172"/>
      <c r="T18" s="31" t="s">
        <v>225</v>
      </c>
      <c r="U18" s="103"/>
      <c r="V18" s="5" t="s">
        <v>10</v>
      </c>
      <c r="W18" s="141"/>
      <c r="X18" s="32" t="s">
        <v>226</v>
      </c>
      <c r="Y18" s="150"/>
      <c r="Z18" s="32" t="s">
        <v>227</v>
      </c>
      <c r="AA18" s="141"/>
      <c r="AB18" s="103"/>
      <c r="AC18" s="5" t="s">
        <v>10</v>
      </c>
      <c r="AD18" s="96"/>
      <c r="AE18" s="33" t="s">
        <v>228</v>
      </c>
      <c r="AF18" s="60" t="s">
        <v>229</v>
      </c>
      <c r="AG18" s="100"/>
      <c r="AH18" s="60" t="s">
        <v>230</v>
      </c>
      <c r="AI18" s="103"/>
      <c r="AJ18" s="5" t="s">
        <v>10</v>
      </c>
      <c r="AK18" s="15"/>
      <c r="AL18" s="15"/>
      <c r="AM18" s="14"/>
      <c r="AN18" s="14"/>
      <c r="AO18" s="167"/>
      <c r="AP18" s="147"/>
    </row>
    <row r="19" spans="1:42" ht="40.5" customHeight="1">
      <c r="A19" s="5" t="s">
        <v>11</v>
      </c>
      <c r="B19" s="41"/>
      <c r="C19" s="41"/>
      <c r="D19" s="41"/>
      <c r="E19" s="41"/>
      <c r="F19" s="41"/>
      <c r="G19" s="6"/>
      <c r="H19" s="5" t="s">
        <v>11</v>
      </c>
      <c r="I19" s="41"/>
      <c r="J19" s="41"/>
      <c r="K19" s="41"/>
      <c r="L19" s="41"/>
      <c r="M19" s="41"/>
      <c r="N19" s="6"/>
      <c r="O19" s="5" t="s">
        <v>11</v>
      </c>
      <c r="P19" s="126"/>
      <c r="Q19" s="173" t="s">
        <v>231</v>
      </c>
      <c r="R19" s="41"/>
      <c r="S19" s="41"/>
      <c r="T19" s="41"/>
      <c r="U19" s="6"/>
      <c r="V19" s="5" t="s">
        <v>11</v>
      </c>
      <c r="W19" s="41"/>
      <c r="X19" s="41"/>
      <c r="Y19" s="41"/>
      <c r="Z19" s="41"/>
      <c r="AA19" s="41"/>
      <c r="AB19" s="6"/>
      <c r="AC19" s="5" t="s">
        <v>11</v>
      </c>
      <c r="AD19" s="41"/>
      <c r="AE19" s="41"/>
      <c r="AF19" s="41"/>
      <c r="AG19" s="41"/>
      <c r="AH19" s="41"/>
      <c r="AI19" s="6"/>
      <c r="AJ19" s="5" t="s">
        <v>11</v>
      </c>
      <c r="AK19" s="10"/>
      <c r="AL19" s="15"/>
      <c r="AM19" s="10"/>
      <c r="AN19" s="11"/>
      <c r="AO19" s="167"/>
      <c r="AP19" s="12"/>
    </row>
    <row r="20" spans="1:42" ht="48" customHeight="1">
      <c r="A20" s="5" t="s">
        <v>12</v>
      </c>
      <c r="B20" s="74" t="s">
        <v>232</v>
      </c>
      <c r="C20" s="74" t="s">
        <v>34</v>
      </c>
      <c r="D20" s="54" t="s">
        <v>233</v>
      </c>
      <c r="E20" s="128" t="s">
        <v>71</v>
      </c>
      <c r="F20" s="137" t="s">
        <v>234</v>
      </c>
      <c r="G20" s="88">
        <v>7</v>
      </c>
      <c r="H20" s="5" t="s">
        <v>12</v>
      </c>
      <c r="I20" s="43" t="s">
        <v>235</v>
      </c>
      <c r="J20" s="31" t="s">
        <v>236</v>
      </c>
      <c r="K20" s="109" t="s">
        <v>48</v>
      </c>
      <c r="L20" s="31" t="s">
        <v>237</v>
      </c>
      <c r="M20" s="31" t="s">
        <v>238</v>
      </c>
      <c r="N20" s="88">
        <v>10</v>
      </c>
      <c r="O20" s="5" t="s">
        <v>12</v>
      </c>
      <c r="P20" s="126"/>
      <c r="Q20" s="174"/>
      <c r="R20" s="114" t="s">
        <v>239</v>
      </c>
      <c r="S20" s="83" t="s">
        <v>240</v>
      </c>
      <c r="T20" s="46" t="s">
        <v>241</v>
      </c>
      <c r="U20" s="88">
        <v>7</v>
      </c>
      <c r="V20" s="5" t="s">
        <v>12</v>
      </c>
      <c r="W20" s="32" t="s">
        <v>242</v>
      </c>
      <c r="X20" s="140" t="s">
        <v>243</v>
      </c>
      <c r="Y20" s="114" t="s">
        <v>244</v>
      </c>
      <c r="Z20" s="109" t="s">
        <v>48</v>
      </c>
      <c r="AA20" s="151" t="s">
        <v>245</v>
      </c>
      <c r="AB20" s="88">
        <v>7</v>
      </c>
      <c r="AC20" s="5" t="s">
        <v>12</v>
      </c>
      <c r="AD20" s="99" t="s">
        <v>246</v>
      </c>
      <c r="AE20" s="99" t="s">
        <v>247</v>
      </c>
      <c r="AF20" s="114" t="s">
        <v>248</v>
      </c>
      <c r="AG20" s="63" t="s">
        <v>249</v>
      </c>
      <c r="AH20" s="106" t="s">
        <v>250</v>
      </c>
      <c r="AI20" s="94" t="s">
        <v>251</v>
      </c>
      <c r="AJ20" s="5" t="s">
        <v>12</v>
      </c>
      <c r="AK20" s="11"/>
      <c r="AL20" s="15"/>
      <c r="AM20" s="41"/>
      <c r="AN20" s="14"/>
      <c r="AO20" s="167"/>
      <c r="AP20" s="154"/>
    </row>
    <row r="21" spans="1:42" ht="48" customHeight="1">
      <c r="A21" s="5" t="s">
        <v>13</v>
      </c>
      <c r="B21" s="74" t="s">
        <v>252</v>
      </c>
      <c r="C21" s="74" t="s">
        <v>253</v>
      </c>
      <c r="D21" s="74" t="s">
        <v>35</v>
      </c>
      <c r="E21" s="129"/>
      <c r="F21" s="138"/>
      <c r="G21" s="89"/>
      <c r="H21" s="5" t="s">
        <v>13</v>
      </c>
      <c r="I21" s="31" t="s">
        <v>254</v>
      </c>
      <c r="J21" s="43" t="s">
        <v>255</v>
      </c>
      <c r="K21" s="110"/>
      <c r="L21" s="123" t="s">
        <v>256</v>
      </c>
      <c r="M21" s="31" t="s">
        <v>257</v>
      </c>
      <c r="N21" s="89"/>
      <c r="O21" s="5" t="s">
        <v>13</v>
      </c>
      <c r="P21" s="126"/>
      <c r="Q21" s="175"/>
      <c r="R21" s="115"/>
      <c r="S21" s="84"/>
      <c r="T21" s="47" t="s">
        <v>258</v>
      </c>
      <c r="U21" s="89"/>
      <c r="V21" s="5" t="s">
        <v>13</v>
      </c>
      <c r="W21" s="32" t="s">
        <v>259</v>
      </c>
      <c r="X21" s="148"/>
      <c r="Y21" s="115"/>
      <c r="Z21" s="110"/>
      <c r="AA21" s="152"/>
      <c r="AB21" s="89"/>
      <c r="AC21" s="5" t="s">
        <v>13</v>
      </c>
      <c r="AD21" s="100"/>
      <c r="AE21" s="100"/>
      <c r="AF21" s="115"/>
      <c r="AG21" s="95" t="s">
        <v>260</v>
      </c>
      <c r="AH21" s="107"/>
      <c r="AI21" s="93"/>
      <c r="AJ21" s="5" t="s">
        <v>13</v>
      </c>
      <c r="AK21" s="11"/>
      <c r="AL21" s="10"/>
      <c r="AM21" s="41"/>
      <c r="AN21" s="9"/>
      <c r="AO21" s="167"/>
      <c r="AP21" s="155"/>
    </row>
    <row r="22" spans="1:42" ht="48" customHeight="1">
      <c r="A22" s="7" t="s">
        <v>154</v>
      </c>
      <c r="B22" s="74" t="s">
        <v>261</v>
      </c>
      <c r="C22" s="52"/>
      <c r="D22" s="53"/>
      <c r="E22" s="130"/>
      <c r="F22" s="139"/>
      <c r="G22" s="90"/>
      <c r="H22" s="7" t="s">
        <v>154</v>
      </c>
      <c r="I22" s="24"/>
      <c r="J22" s="24"/>
      <c r="K22" s="110"/>
      <c r="L22" s="124"/>
      <c r="M22" s="31" t="s">
        <v>262</v>
      </c>
      <c r="N22" s="90"/>
      <c r="O22" s="7" t="s">
        <v>154</v>
      </c>
      <c r="P22" s="127"/>
      <c r="Q22" s="45" t="s">
        <v>263</v>
      </c>
      <c r="R22" s="116"/>
      <c r="S22" s="80" t="s">
        <v>264</v>
      </c>
      <c r="T22" s="82" t="s">
        <v>265</v>
      </c>
      <c r="U22" s="90"/>
      <c r="V22" s="7" t="s">
        <v>154</v>
      </c>
      <c r="W22" s="24"/>
      <c r="X22" s="28"/>
      <c r="Y22" s="116"/>
      <c r="Z22" s="110"/>
      <c r="AA22" s="153"/>
      <c r="AB22" s="90"/>
      <c r="AC22" s="7" t="s">
        <v>154</v>
      </c>
      <c r="AD22" s="24"/>
      <c r="AE22" s="28"/>
      <c r="AF22" s="116"/>
      <c r="AG22" s="96"/>
      <c r="AH22" s="108"/>
      <c r="AI22" s="72">
        <v>13</v>
      </c>
      <c r="AJ22" s="7" t="s">
        <v>154</v>
      </c>
      <c r="AK22" s="11"/>
      <c r="AL22" s="10"/>
      <c r="AM22" s="41"/>
      <c r="AN22" s="16"/>
      <c r="AO22" s="168"/>
      <c r="AP22" s="156"/>
    </row>
    <row r="23" spans="1:42" ht="48.75" customHeight="1">
      <c r="A23" s="7" t="s">
        <v>156</v>
      </c>
      <c r="B23" s="72"/>
      <c r="C23" s="41"/>
      <c r="D23" s="41"/>
      <c r="E23" s="8"/>
      <c r="F23" s="19"/>
      <c r="G23" s="21"/>
      <c r="H23" s="7" t="s">
        <v>266</v>
      </c>
      <c r="I23" s="72"/>
      <c r="J23" s="41"/>
      <c r="K23" s="111"/>
      <c r="L23" s="72"/>
      <c r="M23" s="41"/>
      <c r="N23" s="21"/>
      <c r="O23" s="7" t="s">
        <v>156</v>
      </c>
      <c r="P23" s="72"/>
      <c r="Q23" s="41"/>
      <c r="R23" s="41"/>
      <c r="S23" s="80" t="s">
        <v>267</v>
      </c>
      <c r="T23" s="19"/>
      <c r="U23" s="21"/>
      <c r="V23" s="7" t="s">
        <v>156</v>
      </c>
      <c r="W23" s="72"/>
      <c r="X23" s="41"/>
      <c r="Y23" s="41"/>
      <c r="Z23" s="111"/>
      <c r="AA23" s="32" t="s">
        <v>268</v>
      </c>
      <c r="AB23" s="21"/>
      <c r="AC23" s="7" t="s">
        <v>156</v>
      </c>
      <c r="AD23" s="38"/>
      <c r="AE23" s="38"/>
      <c r="AF23" s="38"/>
      <c r="AG23" s="8"/>
      <c r="AH23" s="60" t="s">
        <v>269</v>
      </c>
      <c r="AI23" s="21"/>
      <c r="AJ23" s="7" t="s">
        <v>156</v>
      </c>
      <c r="AK23" s="9"/>
      <c r="AL23" s="9"/>
      <c r="AM23" s="9"/>
      <c r="AN23" s="14"/>
      <c r="AO23" s="76"/>
      <c r="AP23" s="9"/>
    </row>
    <row r="24" spans="1:42" s="23" customFormat="1" ht="13.5" customHeight="1">
      <c r="A24" s="22"/>
      <c r="B24" s="25"/>
      <c r="C24" s="25"/>
      <c r="D24" s="41"/>
      <c r="E24" s="25"/>
      <c r="F24" s="70"/>
      <c r="G24" s="70"/>
      <c r="H24" s="70"/>
      <c r="I24" s="70"/>
      <c r="J24" s="24"/>
      <c r="K24" s="24"/>
      <c r="L24" s="24"/>
      <c r="M24" s="24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>
      <c r="A25" s="5" t="s">
        <v>270</v>
      </c>
      <c r="B25" s="4">
        <f>B14+7</f>
        <v>45173</v>
      </c>
      <c r="C25" s="4">
        <f>B25+1</f>
        <v>45174</v>
      </c>
      <c r="D25" s="4">
        <f>C25+1</f>
        <v>45175</v>
      </c>
      <c r="E25" s="4">
        <f>D25+1</f>
        <v>45176</v>
      </c>
      <c r="F25" s="4">
        <f>E25+1</f>
        <v>45177</v>
      </c>
      <c r="G25" s="4">
        <f>F25+1</f>
        <v>45178</v>
      </c>
      <c r="H25" s="5" t="s">
        <v>271</v>
      </c>
      <c r="I25" s="4">
        <f>I14+7</f>
        <v>45194</v>
      </c>
      <c r="J25" s="4">
        <f>I25+1</f>
        <v>45195</v>
      </c>
      <c r="K25" s="4">
        <f>J25+1</f>
        <v>45196</v>
      </c>
      <c r="L25" s="4">
        <f>K25+1</f>
        <v>45197</v>
      </c>
      <c r="M25" s="17">
        <f>L25+1</f>
        <v>45198</v>
      </c>
      <c r="N25" s="4">
        <f>M25+1</f>
        <v>45199</v>
      </c>
      <c r="O25" s="5" t="s">
        <v>272</v>
      </c>
      <c r="P25" s="4">
        <f>P14+7</f>
        <v>45215</v>
      </c>
      <c r="Q25" s="4">
        <f>P25+1</f>
        <v>45216</v>
      </c>
      <c r="R25" s="4">
        <f>Q25+1</f>
        <v>45217</v>
      </c>
      <c r="S25" s="4">
        <f>R25+1</f>
        <v>45218</v>
      </c>
      <c r="T25" s="3">
        <f>S25+1</f>
        <v>45219</v>
      </c>
      <c r="U25" s="4">
        <f>T25+1</f>
        <v>45220</v>
      </c>
      <c r="V25" s="5" t="s">
        <v>273</v>
      </c>
      <c r="W25" s="4">
        <f>W14+7</f>
        <v>45236</v>
      </c>
      <c r="X25" s="4">
        <f>W25+1</f>
        <v>45237</v>
      </c>
      <c r="Y25" s="4">
        <f>X25+1</f>
        <v>45238</v>
      </c>
      <c r="Z25" s="4">
        <f>Y25+1</f>
        <v>45239</v>
      </c>
      <c r="AA25" s="4">
        <f>Z25+1</f>
        <v>45240</v>
      </c>
      <c r="AB25" s="4">
        <f>AA25+1</f>
        <v>45241</v>
      </c>
      <c r="AC25" s="5" t="s">
        <v>274</v>
      </c>
      <c r="AD25" s="4">
        <f>AD14+7</f>
        <v>45257</v>
      </c>
      <c r="AE25" s="4">
        <f>AD25+1</f>
        <v>45258</v>
      </c>
      <c r="AF25" s="4">
        <f>AE25+1</f>
        <v>45259</v>
      </c>
      <c r="AG25" s="4">
        <f>AF25+1</f>
        <v>45260</v>
      </c>
      <c r="AH25" s="4">
        <f>AG25+1</f>
        <v>45261</v>
      </c>
      <c r="AI25" s="4">
        <f>AH25+1</f>
        <v>45262</v>
      </c>
      <c r="AJ25" s="5" t="s">
        <v>275</v>
      </c>
      <c r="AK25" s="4">
        <f>AK14+7</f>
        <v>45278</v>
      </c>
      <c r="AL25" s="4">
        <f>AK25+1</f>
        <v>45279</v>
      </c>
      <c r="AM25" s="4">
        <f>AL25+1</f>
        <v>45280</v>
      </c>
      <c r="AN25" s="4">
        <f>AM25+1</f>
        <v>45281</v>
      </c>
      <c r="AO25" s="4">
        <f>AN25+1</f>
        <v>45282</v>
      </c>
      <c r="AP25" s="4">
        <f>AO25+1</f>
        <v>45283</v>
      </c>
    </row>
    <row r="26" spans="1:42" ht="48" customHeight="1">
      <c r="A26" s="5" t="s">
        <v>7</v>
      </c>
      <c r="B26" s="112" t="s">
        <v>276</v>
      </c>
      <c r="C26" s="74" t="s">
        <v>277</v>
      </c>
      <c r="D26" s="74" t="s">
        <v>278</v>
      </c>
      <c r="E26" s="74" t="s">
        <v>279</v>
      </c>
      <c r="F26" s="112" t="s">
        <v>36</v>
      </c>
      <c r="G26" s="101">
        <v>20</v>
      </c>
      <c r="H26" s="5" t="s">
        <v>7</v>
      </c>
      <c r="I26" s="123" t="s">
        <v>280</v>
      </c>
      <c r="J26" s="31" t="s">
        <v>281</v>
      </c>
      <c r="K26" s="158" t="s">
        <v>282</v>
      </c>
      <c r="L26" s="125" t="s">
        <v>283</v>
      </c>
      <c r="M26" s="125" t="s">
        <v>284</v>
      </c>
      <c r="N26" s="101">
        <v>10</v>
      </c>
      <c r="O26" s="5" t="s">
        <v>7</v>
      </c>
      <c r="P26" s="46" t="s">
        <v>285</v>
      </c>
      <c r="Q26" s="173" t="s">
        <v>286</v>
      </c>
      <c r="R26" s="134" t="s">
        <v>71</v>
      </c>
      <c r="S26" s="32" t="s">
        <v>14</v>
      </c>
      <c r="T26" s="32" t="s">
        <v>15</v>
      </c>
      <c r="U26" s="101">
        <v>10</v>
      </c>
      <c r="V26" s="5" t="s">
        <v>7</v>
      </c>
      <c r="W26" s="140" t="s">
        <v>287</v>
      </c>
      <c r="X26" s="134" t="s">
        <v>71</v>
      </c>
      <c r="Y26" s="33" t="s">
        <v>288</v>
      </c>
      <c r="Z26" s="60" t="s">
        <v>289</v>
      </c>
      <c r="AA26" s="119" t="s">
        <v>290</v>
      </c>
      <c r="AB26" s="101">
        <v>3</v>
      </c>
      <c r="AC26" s="5" t="s">
        <v>7</v>
      </c>
      <c r="AD26" s="60" t="s">
        <v>291</v>
      </c>
      <c r="AE26" s="60" t="s">
        <v>292</v>
      </c>
      <c r="AF26" s="157" t="s">
        <v>71</v>
      </c>
      <c r="AG26" s="134" t="s">
        <v>71</v>
      </c>
      <c r="AH26" s="101"/>
      <c r="AI26" s="101">
        <v>10</v>
      </c>
      <c r="AJ26" s="5" t="s">
        <v>7</v>
      </c>
      <c r="AK26" s="14"/>
      <c r="AL26" s="14"/>
      <c r="AM26" s="14"/>
      <c r="AN26" s="14"/>
      <c r="AO26" s="14"/>
      <c r="AP26" s="8"/>
    </row>
    <row r="27" spans="1:42" ht="48" customHeight="1">
      <c r="A27" s="5" t="s">
        <v>8</v>
      </c>
      <c r="B27" s="113"/>
      <c r="C27" s="112" t="s">
        <v>37</v>
      </c>
      <c r="D27" s="74" t="s">
        <v>293</v>
      </c>
      <c r="E27" s="74" t="s">
        <v>38</v>
      </c>
      <c r="F27" s="117"/>
      <c r="G27" s="102"/>
      <c r="H27" s="5" t="s">
        <v>8</v>
      </c>
      <c r="I27" s="124"/>
      <c r="J27" s="31" t="s">
        <v>294</v>
      </c>
      <c r="K27" s="159"/>
      <c r="L27" s="126"/>
      <c r="M27" s="126"/>
      <c r="N27" s="102"/>
      <c r="O27" s="5" t="s">
        <v>8</v>
      </c>
      <c r="P27" s="48" t="s">
        <v>295</v>
      </c>
      <c r="Q27" s="175"/>
      <c r="R27" s="135"/>
      <c r="S27" s="32" t="s">
        <v>16</v>
      </c>
      <c r="T27" s="32" t="s">
        <v>17</v>
      </c>
      <c r="U27" s="102"/>
      <c r="V27" s="5" t="s">
        <v>8</v>
      </c>
      <c r="W27" s="148"/>
      <c r="X27" s="135"/>
      <c r="Y27" s="119" t="s">
        <v>296</v>
      </c>
      <c r="Z27" s="61" t="s">
        <v>297</v>
      </c>
      <c r="AA27" s="118"/>
      <c r="AB27" s="102"/>
      <c r="AC27" s="5" t="s">
        <v>8</v>
      </c>
      <c r="AD27" s="64" t="s">
        <v>298</v>
      </c>
      <c r="AE27" s="60" t="s">
        <v>299</v>
      </c>
      <c r="AF27" s="157"/>
      <c r="AG27" s="135"/>
      <c r="AH27" s="102"/>
      <c r="AI27" s="102"/>
      <c r="AJ27" s="5" t="s">
        <v>8</v>
      </c>
      <c r="AK27" s="14"/>
      <c r="AL27" s="14"/>
      <c r="AM27" s="14"/>
      <c r="AN27" s="41"/>
      <c r="AO27" s="14"/>
      <c r="AP27" s="8"/>
    </row>
    <row r="28" spans="1:42" ht="48" customHeight="1">
      <c r="A28" s="5" t="s">
        <v>9</v>
      </c>
      <c r="B28" s="112" t="s">
        <v>300</v>
      </c>
      <c r="C28" s="113"/>
      <c r="D28" s="112" t="s">
        <v>39</v>
      </c>
      <c r="E28" s="74" t="s">
        <v>40</v>
      </c>
      <c r="F28" s="113"/>
      <c r="G28" s="102"/>
      <c r="H28" s="5" t="s">
        <v>9</v>
      </c>
      <c r="I28" s="31" t="s">
        <v>301</v>
      </c>
      <c r="J28" s="43" t="s">
        <v>135</v>
      </c>
      <c r="K28" s="159"/>
      <c r="L28" s="126"/>
      <c r="M28" s="126"/>
      <c r="N28" s="102"/>
      <c r="O28" s="5" t="s">
        <v>9</v>
      </c>
      <c r="P28" s="46" t="s">
        <v>302</v>
      </c>
      <c r="Q28" s="164" t="s">
        <v>303</v>
      </c>
      <c r="R28" s="135"/>
      <c r="S28" s="32" t="s">
        <v>18</v>
      </c>
      <c r="T28" s="32" t="s">
        <v>19</v>
      </c>
      <c r="U28" s="102"/>
      <c r="V28" s="5" t="s">
        <v>9</v>
      </c>
      <c r="W28" s="141"/>
      <c r="X28" s="135"/>
      <c r="Y28" s="118"/>
      <c r="Z28" s="119" t="s">
        <v>304</v>
      </c>
      <c r="AA28" s="99" t="s">
        <v>305</v>
      </c>
      <c r="AB28" s="102"/>
      <c r="AC28" s="5" t="s">
        <v>9</v>
      </c>
      <c r="AD28" s="97" t="s">
        <v>306</v>
      </c>
      <c r="AE28" s="104" t="s">
        <v>307</v>
      </c>
      <c r="AF28" s="157"/>
      <c r="AG28" s="135"/>
      <c r="AH28" s="102"/>
      <c r="AI28" s="102"/>
      <c r="AJ28" s="5" t="s">
        <v>9</v>
      </c>
      <c r="AK28" s="14"/>
      <c r="AL28" s="14"/>
      <c r="AM28" s="14"/>
      <c r="AN28" s="41"/>
      <c r="AO28" s="14"/>
      <c r="AP28" s="8"/>
    </row>
    <row r="29" spans="1:42" ht="48" customHeight="1">
      <c r="A29" s="5" t="s">
        <v>10</v>
      </c>
      <c r="B29" s="113"/>
      <c r="C29" s="74" t="s">
        <v>41</v>
      </c>
      <c r="D29" s="113"/>
      <c r="E29" s="74" t="s">
        <v>308</v>
      </c>
      <c r="F29" s="74" t="s">
        <v>42</v>
      </c>
      <c r="G29" s="103"/>
      <c r="H29" s="5" t="s">
        <v>10</v>
      </c>
      <c r="I29" s="31" t="s">
        <v>309</v>
      </c>
      <c r="J29" s="31" t="s">
        <v>310</v>
      </c>
      <c r="K29" s="160"/>
      <c r="L29" s="126"/>
      <c r="M29" s="126"/>
      <c r="N29" s="103"/>
      <c r="O29" s="5" t="s">
        <v>10</v>
      </c>
      <c r="P29" s="46" t="s">
        <v>311</v>
      </c>
      <c r="Q29" s="165"/>
      <c r="R29" s="136"/>
      <c r="S29" s="32" t="s">
        <v>20</v>
      </c>
      <c r="U29" s="103"/>
      <c r="V29" s="5" t="s">
        <v>10</v>
      </c>
      <c r="W29" s="59" t="s">
        <v>71</v>
      </c>
      <c r="X29" s="136"/>
      <c r="Y29" s="62" t="s">
        <v>289</v>
      </c>
      <c r="Z29" s="118"/>
      <c r="AA29" s="100"/>
      <c r="AB29" s="103"/>
      <c r="AC29" s="5" t="s">
        <v>10</v>
      </c>
      <c r="AD29" s="98"/>
      <c r="AE29" s="105"/>
      <c r="AF29" s="157"/>
      <c r="AG29" s="136"/>
      <c r="AH29" s="103"/>
      <c r="AI29" s="103"/>
      <c r="AJ29" s="5" t="s">
        <v>10</v>
      </c>
      <c r="AK29" s="14"/>
      <c r="AL29" s="14"/>
      <c r="AM29" s="14"/>
      <c r="AN29" s="41"/>
      <c r="AO29" s="14"/>
      <c r="AP29" s="8"/>
    </row>
    <row r="30" spans="1:42" ht="27">
      <c r="A30" s="5" t="s">
        <v>11</v>
      </c>
      <c r="B30" s="41"/>
      <c r="C30" s="41"/>
      <c r="D30" s="41"/>
      <c r="E30" s="41"/>
      <c r="F30" s="41"/>
      <c r="G30" s="6"/>
      <c r="H30" s="5" t="s">
        <v>11</v>
      </c>
      <c r="I30" s="41"/>
      <c r="J30" s="41"/>
      <c r="K30" s="41"/>
      <c r="L30" s="126"/>
      <c r="M30" s="126"/>
      <c r="N30" s="6"/>
      <c r="O30" s="5" t="s">
        <v>11</v>
      </c>
      <c r="P30" s="41"/>
      <c r="Q30" s="41"/>
      <c r="R30" s="10"/>
      <c r="S30" s="41"/>
      <c r="T30" s="41"/>
      <c r="U30" s="6"/>
      <c r="V30" s="5" t="s">
        <v>11</v>
      </c>
      <c r="W30" s="41"/>
      <c r="X30" s="34"/>
      <c r="Y30" s="41"/>
      <c r="Z30" s="41"/>
      <c r="AA30" s="41"/>
      <c r="AB30" s="6"/>
      <c r="AC30" s="5" t="s">
        <v>11</v>
      </c>
      <c r="AD30" s="41"/>
      <c r="AE30" s="41"/>
      <c r="AF30" s="41"/>
      <c r="AG30" s="34"/>
      <c r="AH30" s="41"/>
      <c r="AI30" s="6"/>
      <c r="AJ30" s="5" t="s">
        <v>11</v>
      </c>
      <c r="AK30" s="14"/>
      <c r="AL30" s="14"/>
      <c r="AM30" s="14"/>
      <c r="AN30" s="14"/>
      <c r="AO30" s="14"/>
      <c r="AP30" s="8"/>
    </row>
    <row r="31" spans="1:42" ht="48" customHeight="1">
      <c r="A31" s="5" t="s">
        <v>12</v>
      </c>
      <c r="B31" s="74" t="s">
        <v>312</v>
      </c>
      <c r="C31" s="69" t="s">
        <v>43</v>
      </c>
      <c r="D31" s="109" t="s">
        <v>48</v>
      </c>
      <c r="E31" s="69" t="s">
        <v>313</v>
      </c>
      <c r="F31" s="67" t="s">
        <v>314</v>
      </c>
      <c r="G31" s="88">
        <v>11</v>
      </c>
      <c r="H31" s="5" t="s">
        <v>12</v>
      </c>
      <c r="I31" s="31" t="s">
        <v>315</v>
      </c>
      <c r="J31" s="120" t="s">
        <v>71</v>
      </c>
      <c r="K31" s="114" t="s">
        <v>316</v>
      </c>
      <c r="L31" s="126"/>
      <c r="M31" s="126"/>
      <c r="N31" s="88"/>
      <c r="O31" s="5" t="s">
        <v>12</v>
      </c>
      <c r="P31" s="48" t="s">
        <v>317</v>
      </c>
      <c r="Q31" s="41"/>
      <c r="R31" s="158" t="s">
        <v>318</v>
      </c>
      <c r="S31" s="32" t="s">
        <v>22</v>
      </c>
      <c r="T31" s="109" t="s">
        <v>48</v>
      </c>
      <c r="U31" s="88">
        <v>10</v>
      </c>
      <c r="V31" s="5" t="s">
        <v>12</v>
      </c>
      <c r="W31" s="120" t="s">
        <v>71</v>
      </c>
      <c r="X31" s="161" t="s">
        <v>319</v>
      </c>
      <c r="Y31" s="114" t="s">
        <v>320</v>
      </c>
      <c r="Z31" s="119" t="s">
        <v>321</v>
      </c>
      <c r="AA31" s="60" t="s">
        <v>322</v>
      </c>
      <c r="AB31" s="88">
        <v>16</v>
      </c>
      <c r="AC31" s="5" t="s">
        <v>12</v>
      </c>
      <c r="AD31" s="104" t="s">
        <v>323</v>
      </c>
      <c r="AE31" s="120" t="s">
        <v>71</v>
      </c>
      <c r="AF31" s="114" t="s">
        <v>324</v>
      </c>
      <c r="AG31" s="91" t="s">
        <v>325</v>
      </c>
      <c r="AH31" s="109" t="s">
        <v>48</v>
      </c>
      <c r="AI31" s="88"/>
      <c r="AJ31" s="5" t="s">
        <v>12</v>
      </c>
      <c r="AK31" s="14"/>
      <c r="AL31" s="14"/>
      <c r="AM31" s="14"/>
      <c r="AN31" s="14"/>
      <c r="AO31" s="14"/>
      <c r="AP31" s="41"/>
    </row>
    <row r="32" spans="1:42" s="18" customFormat="1" ht="48" customHeight="1">
      <c r="A32" s="5" t="s">
        <v>13</v>
      </c>
      <c r="B32" s="55" t="s">
        <v>326</v>
      </c>
      <c r="C32" s="74" t="s">
        <v>44</v>
      </c>
      <c r="D32" s="110"/>
      <c r="E32" s="112" t="s">
        <v>45</v>
      </c>
      <c r="F32" s="75" t="s">
        <v>327</v>
      </c>
      <c r="G32" s="89"/>
      <c r="H32" s="5" t="s">
        <v>13</v>
      </c>
      <c r="I32" s="31" t="s">
        <v>328</v>
      </c>
      <c r="J32" s="121"/>
      <c r="K32" s="115"/>
      <c r="L32" s="126"/>
      <c r="M32" s="126"/>
      <c r="N32" s="89"/>
      <c r="O32" s="5" t="s">
        <v>13</v>
      </c>
      <c r="P32" s="46" t="s">
        <v>329</v>
      </c>
      <c r="Q32" s="8"/>
      <c r="R32" s="159"/>
      <c r="S32" s="32" t="s">
        <v>23</v>
      </c>
      <c r="T32" s="110"/>
      <c r="U32" s="89"/>
      <c r="V32" s="5" t="s">
        <v>13</v>
      </c>
      <c r="W32" s="121"/>
      <c r="X32" s="162"/>
      <c r="Y32" s="115"/>
      <c r="Z32" s="118"/>
      <c r="AA32" s="60" t="s">
        <v>330</v>
      </c>
      <c r="AB32" s="89"/>
      <c r="AC32" s="5" t="s">
        <v>13</v>
      </c>
      <c r="AD32" s="105"/>
      <c r="AE32" s="121"/>
      <c r="AF32" s="115"/>
      <c r="AG32" s="92"/>
      <c r="AH32" s="110"/>
      <c r="AI32" s="89"/>
      <c r="AJ32" s="5" t="s">
        <v>13</v>
      </c>
      <c r="AK32" s="9"/>
      <c r="AL32" s="9"/>
      <c r="AM32" s="9"/>
      <c r="AN32" s="9"/>
      <c r="AO32" s="9"/>
      <c r="AP32" s="41"/>
    </row>
    <row r="33" spans="1:42" s="18" customFormat="1" ht="48" customHeight="1">
      <c r="A33" s="7" t="s">
        <v>154</v>
      </c>
      <c r="B33" s="74" t="s">
        <v>331</v>
      </c>
      <c r="C33" s="53"/>
      <c r="D33" s="110"/>
      <c r="E33" s="113"/>
      <c r="F33" s="65" t="s">
        <v>332</v>
      </c>
      <c r="G33" s="90"/>
      <c r="H33" s="7" t="s">
        <v>154</v>
      </c>
      <c r="I33" s="24"/>
      <c r="J33" s="122"/>
      <c r="K33" s="116"/>
      <c r="L33" s="127"/>
      <c r="M33" s="127"/>
      <c r="N33" s="90"/>
      <c r="O33" s="7" t="s">
        <v>154</v>
      </c>
      <c r="P33" s="41"/>
      <c r="Q33" s="41"/>
      <c r="R33" s="160"/>
      <c r="S33" s="78" t="s">
        <v>21</v>
      </c>
      <c r="T33" s="110"/>
      <c r="U33" s="90"/>
      <c r="V33" s="7" t="s">
        <v>154</v>
      </c>
      <c r="W33" s="122"/>
      <c r="X33" s="163"/>
      <c r="Y33" s="116"/>
      <c r="Z33" s="24"/>
      <c r="AA33" s="24"/>
      <c r="AB33" s="90"/>
      <c r="AC33" s="7" t="s">
        <v>154</v>
      </c>
      <c r="AD33" s="24"/>
      <c r="AE33" s="122"/>
      <c r="AF33" s="116"/>
      <c r="AG33" s="93"/>
      <c r="AH33" s="110"/>
      <c r="AI33" s="90"/>
      <c r="AJ33" s="7" t="s">
        <v>154</v>
      </c>
      <c r="AK33" s="9"/>
      <c r="AL33" s="9"/>
      <c r="AM33" s="9"/>
      <c r="AN33" s="9"/>
      <c r="AO33" s="9"/>
      <c r="AP33" s="41"/>
    </row>
    <row r="34" spans="1:42" s="18" customFormat="1" ht="48" customHeight="1">
      <c r="A34" s="7" t="s">
        <v>156</v>
      </c>
      <c r="B34" s="72"/>
      <c r="C34" s="41"/>
      <c r="D34" s="111"/>
      <c r="E34" s="8"/>
      <c r="F34" s="19"/>
      <c r="G34" s="21"/>
      <c r="H34" s="7" t="s">
        <v>156</v>
      </c>
      <c r="I34" s="72"/>
      <c r="J34" s="72"/>
      <c r="K34" s="72"/>
      <c r="L34" s="8"/>
      <c r="M34" s="19"/>
      <c r="N34" s="21"/>
      <c r="O34" s="7" t="s">
        <v>156</v>
      </c>
      <c r="P34" s="72"/>
      <c r="Q34" s="41"/>
      <c r="R34" s="41"/>
      <c r="S34" s="41"/>
      <c r="T34" s="111"/>
      <c r="U34" s="21"/>
      <c r="V34" s="7" t="s">
        <v>156</v>
      </c>
      <c r="W34" s="72"/>
      <c r="X34" s="41"/>
      <c r="Y34" s="41"/>
      <c r="Z34" s="8"/>
      <c r="AA34" s="19"/>
      <c r="AB34" s="21"/>
      <c r="AC34" s="7" t="s">
        <v>156</v>
      </c>
      <c r="AD34" s="72"/>
      <c r="AE34" s="39"/>
      <c r="AF34" s="41"/>
      <c r="AG34" s="41"/>
      <c r="AH34" s="111"/>
      <c r="AI34" s="21"/>
      <c r="AJ34" s="7" t="s">
        <v>156</v>
      </c>
      <c r="AK34" s="76"/>
      <c r="AL34" s="76"/>
      <c r="AM34" s="76"/>
      <c r="AN34" s="76"/>
      <c r="AO34" s="76"/>
      <c r="AP34" s="41"/>
    </row>
    <row r="35" spans="1:42" s="23" customFormat="1" ht="13.5" customHeight="1">
      <c r="A35" s="27"/>
      <c r="B35" s="26"/>
      <c r="C35" s="26"/>
      <c r="D35" s="26"/>
      <c r="E35" s="26"/>
      <c r="F35" s="71"/>
      <c r="G35" s="71"/>
      <c r="H35" s="71"/>
      <c r="I35" s="71"/>
      <c r="J35" s="71"/>
      <c r="K35" s="20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71"/>
      <c r="AA35" s="71"/>
      <c r="AB35" s="71"/>
      <c r="AC35" s="71"/>
      <c r="AD35" s="20"/>
      <c r="AE35" s="24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</row>
    <row r="36" spans="1:42" ht="24.95" customHeight="1"/>
    <row r="37" spans="1:42" ht="24.95" customHeight="1">
      <c r="I37" s="79" t="s">
        <v>333</v>
      </c>
    </row>
  </sheetData>
  <mergeCells count="149">
    <mergeCell ref="AO15:AO22"/>
    <mergeCell ref="R6:R7"/>
    <mergeCell ref="R9:R10"/>
    <mergeCell ref="S5:S6"/>
    <mergeCell ref="T4:T5"/>
    <mergeCell ref="S17:S18"/>
    <mergeCell ref="T15:T16"/>
    <mergeCell ref="Q19:Q21"/>
    <mergeCell ref="Q26:Q27"/>
    <mergeCell ref="R26:R29"/>
    <mergeCell ref="S9:S11"/>
    <mergeCell ref="R20:R22"/>
    <mergeCell ref="Y20:Y22"/>
    <mergeCell ref="K20:K23"/>
    <mergeCell ref="T9:T12"/>
    <mergeCell ref="T31:T34"/>
    <mergeCell ref="Z20:Z23"/>
    <mergeCell ref="AF9:AF12"/>
    <mergeCell ref="Y27:Y28"/>
    <mergeCell ref="Z28:Z29"/>
    <mergeCell ref="AA28:AA29"/>
    <mergeCell ref="Z31:Z32"/>
    <mergeCell ref="G26:G29"/>
    <mergeCell ref="L26:L33"/>
    <mergeCell ref="M26:M33"/>
    <mergeCell ref="N26:N29"/>
    <mergeCell ref="U26:U29"/>
    <mergeCell ref="AB26:AB29"/>
    <mergeCell ref="AI26:AI29"/>
    <mergeCell ref="W31:W33"/>
    <mergeCell ref="AH26:AH29"/>
    <mergeCell ref="AF26:AF29"/>
    <mergeCell ref="K26:K29"/>
    <mergeCell ref="J31:J33"/>
    <mergeCell ref="R31:R33"/>
    <mergeCell ref="G31:G33"/>
    <mergeCell ref="N31:N33"/>
    <mergeCell ref="X26:X29"/>
    <mergeCell ref="X31:X33"/>
    <mergeCell ref="I26:I27"/>
    <mergeCell ref="Q28:Q29"/>
    <mergeCell ref="W26:W28"/>
    <mergeCell ref="AG26:AG29"/>
    <mergeCell ref="Y31:Y33"/>
    <mergeCell ref="AP15:AP18"/>
    <mergeCell ref="F20:F22"/>
    <mergeCell ref="G20:G22"/>
    <mergeCell ref="N20:N22"/>
    <mergeCell ref="U20:U22"/>
    <mergeCell ref="AB20:AB22"/>
    <mergeCell ref="F15:F18"/>
    <mergeCell ref="G15:G18"/>
    <mergeCell ref="N15:N18"/>
    <mergeCell ref="P15:P22"/>
    <mergeCell ref="U15:U18"/>
    <mergeCell ref="L21:L22"/>
    <mergeCell ref="I15:I16"/>
    <mergeCell ref="I17:I18"/>
    <mergeCell ref="J16:J17"/>
    <mergeCell ref="X15:X16"/>
    <mergeCell ref="Z15:Z16"/>
    <mergeCell ref="AA16:AA18"/>
    <mergeCell ref="W17:W18"/>
    <mergeCell ref="Y17:Y18"/>
    <mergeCell ref="X20:X21"/>
    <mergeCell ref="AA20:AA22"/>
    <mergeCell ref="AB15:AB18"/>
    <mergeCell ref="AP20:AP22"/>
    <mergeCell ref="B9:B10"/>
    <mergeCell ref="E4:E5"/>
    <mergeCell ref="E6:E7"/>
    <mergeCell ref="F8:F10"/>
    <mergeCell ref="AP9:AP11"/>
    <mergeCell ref="A1:AP1"/>
    <mergeCell ref="G4:G7"/>
    <mergeCell ref="N4:N7"/>
    <mergeCell ref="Q4:Q11"/>
    <mergeCell ref="U4:U7"/>
    <mergeCell ref="AB4:AB7"/>
    <mergeCell ref="AI4:AI7"/>
    <mergeCell ref="AP4:AP7"/>
    <mergeCell ref="G9:G11"/>
    <mergeCell ref="M4:M7"/>
    <mergeCell ref="M9:M11"/>
    <mergeCell ref="L9:L11"/>
    <mergeCell ref="AA4:AA5"/>
    <mergeCell ref="Z6:Z7"/>
    <mergeCell ref="I4:I5"/>
    <mergeCell ref="I7:I10"/>
    <mergeCell ref="J4:J5"/>
    <mergeCell ref="J6:J7"/>
    <mergeCell ref="B28:B29"/>
    <mergeCell ref="D28:D29"/>
    <mergeCell ref="E32:E33"/>
    <mergeCell ref="B15:B16"/>
    <mergeCell ref="E15:E18"/>
    <mergeCell ref="C16:C18"/>
    <mergeCell ref="D17:D18"/>
    <mergeCell ref="B26:B27"/>
    <mergeCell ref="E20:E22"/>
    <mergeCell ref="D31:D34"/>
    <mergeCell ref="AF20:AF22"/>
    <mergeCell ref="J10:J11"/>
    <mergeCell ref="F26:F28"/>
    <mergeCell ref="U31:U33"/>
    <mergeCell ref="AE4:AE5"/>
    <mergeCell ref="AG4:AG5"/>
    <mergeCell ref="AH4:AH5"/>
    <mergeCell ref="AD6:AD7"/>
    <mergeCell ref="AE6:AE7"/>
    <mergeCell ref="AF6:AF7"/>
    <mergeCell ref="AH6:AH7"/>
    <mergeCell ref="AA26:AA27"/>
    <mergeCell ref="AD9:AD10"/>
    <mergeCell ref="AG9:AG10"/>
    <mergeCell ref="AH9:AH10"/>
    <mergeCell ref="AD31:AD32"/>
    <mergeCell ref="AE31:AE33"/>
    <mergeCell ref="AB31:AB33"/>
    <mergeCell ref="N9:N11"/>
    <mergeCell ref="U9:U11"/>
    <mergeCell ref="AB9:AB11"/>
    <mergeCell ref="M15:M16"/>
    <mergeCell ref="M17:M18"/>
    <mergeCell ref="P4:P11"/>
    <mergeCell ref="S20:S21"/>
    <mergeCell ref="C9:C11"/>
    <mergeCell ref="AI31:AI33"/>
    <mergeCell ref="AG31:AG33"/>
    <mergeCell ref="AI9:AI10"/>
    <mergeCell ref="AD15:AD16"/>
    <mergeCell ref="AF15:AF16"/>
    <mergeCell ref="AH16:AH17"/>
    <mergeCell ref="AD17:AD18"/>
    <mergeCell ref="AG17:AG18"/>
    <mergeCell ref="AI15:AI18"/>
    <mergeCell ref="AD28:AD29"/>
    <mergeCell ref="AE28:AE29"/>
    <mergeCell ref="AD20:AD21"/>
    <mergeCell ref="AE20:AE21"/>
    <mergeCell ref="AG21:AG22"/>
    <mergeCell ref="AH20:AH22"/>
    <mergeCell ref="AI20:AI21"/>
    <mergeCell ref="AH31:AH34"/>
    <mergeCell ref="C27:C28"/>
    <mergeCell ref="K9:K11"/>
    <mergeCell ref="K31:K33"/>
    <mergeCell ref="Y9:Y11"/>
    <mergeCell ref="AF31:AF33"/>
  </mergeCells>
  <phoneticPr fontId="1" type="noConversion"/>
  <pageMargins left="0.35433070866141736" right="0.15748031496062992" top="0.27559055118110237" bottom="0.27559055118110237" header="0.31496062992125984" footer="0.31496062992125984"/>
  <pageSetup paperSize="9" scale="39" orientation="landscape" r:id="rId1"/>
  <colBreaks count="1" manualBreakCount="1">
    <brk id="2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2023_2학기_시간표(틀) (2)</vt:lpstr>
      <vt:lpstr>'2023_2학기_시간표(틀)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lastPrinted>2023-08-04T06:22:07Z</cp:lastPrinted>
  <dcterms:created xsi:type="dcterms:W3CDTF">2021-04-21T04:02:26Z</dcterms:created>
  <dcterms:modified xsi:type="dcterms:W3CDTF">2023-10-05T07:01:11Z</dcterms:modified>
</cp:coreProperties>
</file>